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T6\MAGANG\MAGANG ITM\Latihan Intern\FLF\"/>
    </mc:Choice>
  </mc:AlternateContent>
  <xr:revisionPtr revIDLastSave="0" documentId="8_{B3E52138-D0B0-4CD5-9F31-5BC4017461B2}" xr6:coauthVersionLast="47" xr6:coauthVersionMax="47" xr10:uidLastSave="{00000000-0000-0000-0000-000000000000}"/>
  <bookViews>
    <workbookView xWindow="-108" yWindow="-108" windowWidth="23256" windowHeight="12576" activeTab="1" xr2:uid="{5CFEDF44-541F-4E35-A93F-768CAFEE0E8E}"/>
  </bookViews>
  <sheets>
    <sheet name="Mapping" sheetId="5" r:id="rId1"/>
    <sheet name="2023" sheetId="1" r:id="rId2"/>
    <sheet name="2024" sheetId="2" r:id="rId3"/>
    <sheet name="2025" sheetId="3" r:id="rId4"/>
    <sheet name="Sheet4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4" l="1"/>
  <c r="K6" i="4"/>
  <c r="K7" i="4"/>
  <c r="K8" i="4"/>
  <c r="K9" i="4"/>
  <c r="K10" i="4"/>
  <c r="K12" i="4"/>
  <c r="K14" i="4"/>
  <c r="K15" i="4"/>
  <c r="K16" i="4"/>
  <c r="K17" i="4"/>
  <c r="K18" i="4"/>
  <c r="K4" i="4"/>
  <c r="K11" i="4" l="1"/>
  <c r="K13" i="4"/>
  <c r="K19" i="4" l="1"/>
</calcChain>
</file>

<file path=xl/sharedStrings.xml><?xml version="1.0" encoding="utf-8"?>
<sst xmlns="http://schemas.openxmlformats.org/spreadsheetml/2006/main" count="70" uniqueCount="24">
  <si>
    <t>Month &amp; Year</t>
  </si>
  <si>
    <t>Rocktree</t>
  </si>
  <si>
    <t>Apolo</t>
  </si>
  <si>
    <t>Zeus</t>
  </si>
  <si>
    <t>Mara</t>
  </si>
  <si>
    <t>WHS iskandar</t>
  </si>
  <si>
    <t>PSS</t>
  </si>
  <si>
    <t>Bulk Java</t>
  </si>
  <si>
    <t>Ratu Dewata</t>
  </si>
  <si>
    <t>Labor</t>
  </si>
  <si>
    <t>Stevedore</t>
  </si>
  <si>
    <t>Meranti</t>
  </si>
  <si>
    <t>Green Calypso</t>
  </si>
  <si>
    <t>TOTAL</t>
  </si>
  <si>
    <t>TOTAL FLF 2023</t>
  </si>
  <si>
    <t>Apollo</t>
  </si>
  <si>
    <t>August</t>
  </si>
  <si>
    <t>Month/ Year</t>
  </si>
  <si>
    <t>Eagle</t>
  </si>
  <si>
    <t>FLF</t>
  </si>
  <si>
    <t>Group</t>
  </si>
  <si>
    <t xml:space="preserve">Labor </t>
  </si>
  <si>
    <t>WHS</t>
  </si>
  <si>
    <t xml:space="preserve">WHS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</si>
</sst>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"/>
    <numFmt numFmtId="165" formatCode="[$-409]mmm\-yy;@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</cellStyleXfs>
  <cellXfs count="56">
    <xf numFmtId="0" fontId="0" fillId="0" borderId="0" xfId="0"/>
    <xf numFmtId="165" fontId="8" fillId="0" borderId="4" xfId="3" applyNumberFormat="1" applyFont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/>
    </xf>
    <xf numFmtId="166" fontId="6" fillId="0" borderId="1" xfId="1" applyNumberFormat="1" applyFont="1" applyBorder="1" applyAlignment="1">
      <alignment vertical="center"/>
    </xf>
    <xf numFmtId="166" fontId="6" fillId="0" borderId="1" xfId="1" applyNumberFormat="1" applyFont="1" applyFill="1" applyBorder="1" applyAlignment="1">
      <alignment vertical="center"/>
    </xf>
    <xf numFmtId="166" fontId="4" fillId="0" borderId="1" xfId="1" applyNumberFormat="1" applyFont="1" applyBorder="1" applyAlignment="1">
      <alignment horizontal="center" vertical="center"/>
    </xf>
    <xf numFmtId="166" fontId="4" fillId="0" borderId="5" xfId="1" applyNumberFormat="1" applyFont="1" applyBorder="1" applyAlignment="1">
      <alignment horizontal="center" vertical="center"/>
    </xf>
    <xf numFmtId="166" fontId="0" fillId="0" borderId="1" xfId="1" applyNumberFormat="1" applyFont="1" applyBorder="1"/>
    <xf numFmtId="166" fontId="2" fillId="4" borderId="1" xfId="1" applyNumberFormat="1" applyFont="1" applyFill="1" applyBorder="1"/>
    <xf numFmtId="166" fontId="8" fillId="0" borderId="1" xfId="1" applyNumberFormat="1" applyFont="1" applyBorder="1" applyAlignment="1">
      <alignment vertical="center"/>
    </xf>
    <xf numFmtId="166" fontId="8" fillId="0" borderId="1" xfId="1" applyNumberFormat="1" applyFont="1" applyFill="1" applyBorder="1" applyAlignment="1">
      <alignment vertical="center"/>
    </xf>
    <xf numFmtId="166" fontId="4" fillId="0" borderId="1" xfId="1" applyNumberFormat="1" applyFont="1" applyBorder="1" applyAlignment="1">
      <alignment horizontal="right"/>
    </xf>
    <xf numFmtId="166" fontId="4" fillId="0" borderId="1" xfId="1" applyNumberFormat="1" applyFont="1" applyBorder="1" applyAlignment="1">
      <alignment horizontal="right" vertical="center"/>
    </xf>
    <xf numFmtId="166" fontId="8" fillId="0" borderId="1" xfId="1" applyNumberFormat="1" applyFont="1" applyBorder="1" applyAlignment="1">
      <alignment horizontal="right" vertical="center"/>
    </xf>
    <xf numFmtId="166" fontId="8" fillId="0" borderId="1" xfId="1" applyNumberFormat="1" applyFont="1" applyFill="1" applyBorder="1" applyAlignment="1">
      <alignment horizontal="right" vertical="center"/>
    </xf>
    <xf numFmtId="164" fontId="4" fillId="0" borderId="1" xfId="3" applyNumberFormat="1" applyFont="1" applyBorder="1" applyAlignment="1">
      <alignment horizontal="right" vertical="center"/>
    </xf>
    <xf numFmtId="166" fontId="0" fillId="0" borderId="0" xfId="1" applyNumberFormat="1" applyFont="1"/>
    <xf numFmtId="166" fontId="4" fillId="0" borderId="2" xfId="1" applyNumberFormat="1" applyFont="1" applyBorder="1" applyAlignment="1">
      <alignment horizontal="center" vertical="center"/>
    </xf>
    <xf numFmtId="166" fontId="4" fillId="0" borderId="4" xfId="1" applyNumberFormat="1" applyFont="1" applyBorder="1" applyAlignment="1">
      <alignment horizontal="center" vertical="center"/>
    </xf>
    <xf numFmtId="166" fontId="0" fillId="0" borderId="0" xfId="0" applyNumberFormat="1"/>
    <xf numFmtId="0" fontId="8" fillId="0" borderId="1" xfId="3" applyFont="1" applyBorder="1" applyAlignment="1">
      <alignment horizontal="right" vertical="center"/>
    </xf>
    <xf numFmtId="3" fontId="9" fillId="2" borderId="0" xfId="5" applyNumberFormat="1" applyFont="1" applyFill="1"/>
    <xf numFmtId="166" fontId="6" fillId="0" borderId="0" xfId="1" applyNumberFormat="1" applyFont="1" applyBorder="1" applyAlignment="1">
      <alignment vertical="center"/>
    </xf>
    <xf numFmtId="0" fontId="5" fillId="3" borderId="3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top"/>
    </xf>
    <xf numFmtId="166" fontId="10" fillId="0" borderId="1" xfId="1" applyNumberFormat="1" applyFont="1" applyBorder="1" applyAlignment="1">
      <alignment vertical="center"/>
    </xf>
    <xf numFmtId="166" fontId="10" fillId="0" borderId="1" xfId="1" applyNumberFormat="1" applyFont="1" applyFill="1" applyBorder="1" applyAlignment="1">
      <alignment vertical="center"/>
    </xf>
    <xf numFmtId="166" fontId="11" fillId="0" borderId="1" xfId="1" applyNumberFormat="1" applyFont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165" fontId="8" fillId="0" borderId="1" xfId="3" applyNumberFormat="1" applyFont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5" fillId="3" borderId="1" xfId="2" applyFont="1" applyFill="1" applyBorder="1" applyAlignment="1">
      <alignment vertical="center" wrapText="1"/>
    </xf>
    <xf numFmtId="0" fontId="5" fillId="3" borderId="2" xfId="2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4" borderId="5" xfId="3" applyFont="1" applyFill="1" applyBorder="1" applyAlignment="1">
      <alignment horizontal="center" vertical="center"/>
    </xf>
    <xf numFmtId="0" fontId="5" fillId="4" borderId="7" xfId="3" applyFont="1" applyFill="1" applyBorder="1" applyAlignment="1">
      <alignment horizontal="center" vertical="center"/>
    </xf>
    <xf numFmtId="0" fontId="5" fillId="4" borderId="6" xfId="3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 13" xfId="5" xr:uid="{A11710C6-3092-4A21-9DC6-A63BE560088C}"/>
    <cellStyle name="Normal 17" xfId="4" xr:uid="{DDD62CE0-9A3B-4FBD-AABF-941A1D43B95A}"/>
    <cellStyle name="Normal 2 3" xfId="2" xr:uid="{AD41033E-E40E-49F2-A313-FA7A8C97F495}"/>
    <cellStyle name="Normal 9" xfId="3" xr:uid="{2611A91A-DCC7-4C5C-8CEF-F9D05FCAB6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055E-0073-4726-A9B3-B23A5BD2557C}">
  <dimension ref="B2:C12"/>
  <sheetViews>
    <sheetView workbookViewId="0">
      <selection activeCell="E24" sqref="E24"/>
    </sheetView>
  </sheetViews>
  <sheetFormatPr defaultRowHeight="14.4" x14ac:dyDescent="0.3"/>
  <cols>
    <col min="2" max="3" width="12.21875" bestFit="1" customWidth="1"/>
  </cols>
  <sheetData>
    <row r="2" spans="2:3" x14ac:dyDescent="0.3">
      <c r="B2" s="9" t="s">
        <v>19</v>
      </c>
      <c r="C2" s="9" t="s">
        <v>20</v>
      </c>
    </row>
    <row r="3" spans="2:3" x14ac:dyDescent="0.3">
      <c r="B3" s="36" t="s">
        <v>15</v>
      </c>
      <c r="C3" s="36" t="s">
        <v>1</v>
      </c>
    </row>
    <row r="4" spans="2:3" x14ac:dyDescent="0.3">
      <c r="B4" s="36" t="s">
        <v>3</v>
      </c>
      <c r="C4" s="36" t="s">
        <v>1</v>
      </c>
    </row>
    <row r="5" spans="2:3" x14ac:dyDescent="0.3">
      <c r="B5" s="36" t="s">
        <v>4</v>
      </c>
      <c r="C5" s="36" t="s">
        <v>1</v>
      </c>
    </row>
    <row r="6" spans="2:3" x14ac:dyDescent="0.3">
      <c r="B6" s="36" t="s">
        <v>16</v>
      </c>
      <c r="C6" s="36" t="s">
        <v>1</v>
      </c>
    </row>
    <row r="7" spans="2:3" x14ac:dyDescent="0.3">
      <c r="B7" s="36" t="s">
        <v>18</v>
      </c>
      <c r="C7" s="36" t="s">
        <v>1</v>
      </c>
    </row>
    <row r="8" spans="2:3" x14ac:dyDescent="0.3">
      <c r="B8" s="38" t="s">
        <v>22</v>
      </c>
      <c r="C8" s="38" t="s">
        <v>22</v>
      </c>
    </row>
    <row r="9" spans="2:3" x14ac:dyDescent="0.3">
      <c r="B9" s="36" t="s">
        <v>7</v>
      </c>
      <c r="C9" s="36" t="s">
        <v>6</v>
      </c>
    </row>
    <row r="10" spans="2:3" x14ac:dyDescent="0.3">
      <c r="B10" s="36" t="s">
        <v>8</v>
      </c>
      <c r="C10" s="36" t="s">
        <v>6</v>
      </c>
    </row>
    <row r="11" spans="2:3" x14ac:dyDescent="0.3">
      <c r="B11" s="36" t="s">
        <v>21</v>
      </c>
      <c r="C11" s="36" t="s">
        <v>10</v>
      </c>
    </row>
    <row r="12" spans="2:3" x14ac:dyDescent="0.3">
      <c r="B12" s="36" t="s">
        <v>12</v>
      </c>
      <c r="C12" s="3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5952-5FFE-4DA0-AC43-C6FE9084DD2A}">
  <dimension ref="B1:M29"/>
  <sheetViews>
    <sheetView tabSelected="1" zoomScale="70" zoomScaleNormal="70" workbookViewId="0">
      <selection activeCell="D24" sqref="D24"/>
    </sheetView>
  </sheetViews>
  <sheetFormatPr defaultRowHeight="14.4" x14ac:dyDescent="0.3"/>
  <cols>
    <col min="2" max="2" width="11.109375" style="4" bestFit="1" customWidth="1"/>
    <col min="3" max="3" width="17.77734375" customWidth="1"/>
    <col min="5" max="7" width="8.33203125" customWidth="1"/>
    <col min="8" max="8" width="9.77734375" customWidth="1"/>
    <col min="9" max="9" width="10" bestFit="1" customWidth="1"/>
    <col min="10" max="10" width="11.21875" bestFit="1" customWidth="1"/>
    <col min="11" max="11" width="9.109375" customWidth="1"/>
    <col min="12" max="12" width="12.33203125" bestFit="1" customWidth="1"/>
    <col min="13" max="13" width="17" customWidth="1"/>
  </cols>
  <sheetData>
    <row r="1" spans="2:13" ht="13.2" customHeight="1" x14ac:dyDescent="0.3"/>
    <row r="2" spans="2:13" ht="13.2" customHeight="1" x14ac:dyDescent="0.3">
      <c r="B2"/>
    </row>
    <row r="3" spans="2:13" ht="14.4" customHeight="1" x14ac:dyDescent="0.3">
      <c r="B3" s="35" t="s">
        <v>17</v>
      </c>
      <c r="C3" s="2" t="s">
        <v>15</v>
      </c>
      <c r="D3" s="2" t="s">
        <v>3</v>
      </c>
      <c r="E3" s="2" t="s">
        <v>4</v>
      </c>
      <c r="F3" s="37" t="s">
        <v>16</v>
      </c>
      <c r="G3" s="37" t="s">
        <v>18</v>
      </c>
      <c r="H3" s="8" t="s">
        <v>23</v>
      </c>
      <c r="I3" s="2" t="s">
        <v>7</v>
      </c>
      <c r="J3" s="2" t="s">
        <v>8</v>
      </c>
      <c r="K3" s="2" t="s">
        <v>9</v>
      </c>
      <c r="L3" s="2" t="s">
        <v>12</v>
      </c>
    </row>
    <row r="4" spans="2:13" x14ac:dyDescent="0.3">
      <c r="B4" s="1">
        <v>44927</v>
      </c>
      <c r="C4" s="20">
        <v>103509</v>
      </c>
      <c r="D4" s="18"/>
      <c r="E4" s="20">
        <v>108500</v>
      </c>
      <c r="F4" s="20"/>
      <c r="G4" s="20"/>
      <c r="H4" s="20">
        <v>128990</v>
      </c>
      <c r="I4" s="19"/>
      <c r="J4" s="19"/>
      <c r="K4" s="19">
        <v>54149</v>
      </c>
      <c r="L4" s="19"/>
      <c r="M4" s="26"/>
    </row>
    <row r="5" spans="2:13" x14ac:dyDescent="0.3">
      <c r="B5" s="1">
        <v>44958</v>
      </c>
      <c r="C5" s="20">
        <v>70250</v>
      </c>
      <c r="D5" s="21">
        <v>46280</v>
      </c>
      <c r="E5" s="20">
        <v>115699.99999999997</v>
      </c>
      <c r="F5" s="20"/>
      <c r="G5" s="20"/>
      <c r="H5" s="20">
        <v>348800</v>
      </c>
      <c r="I5" s="19"/>
      <c r="J5" s="19"/>
      <c r="K5" s="19">
        <v>55000</v>
      </c>
      <c r="L5" s="19"/>
      <c r="M5" s="26"/>
    </row>
    <row r="6" spans="2:13" x14ac:dyDescent="0.3">
      <c r="B6" s="1">
        <v>44986</v>
      </c>
      <c r="C6" s="20">
        <v>275784</v>
      </c>
      <c r="D6" s="21">
        <v>224130</v>
      </c>
      <c r="E6" s="20">
        <v>33500</v>
      </c>
      <c r="F6" s="20"/>
      <c r="G6" s="20"/>
      <c r="H6" s="20">
        <v>270547</v>
      </c>
      <c r="I6" s="19"/>
      <c r="J6" s="19"/>
      <c r="K6" s="19">
        <v>54518.334000000003</v>
      </c>
      <c r="L6" s="19"/>
      <c r="M6" s="26"/>
    </row>
    <row r="7" spans="2:13" x14ac:dyDescent="0.3">
      <c r="B7" s="1">
        <v>45017</v>
      </c>
      <c r="C7" s="19"/>
      <c r="D7" s="21">
        <v>106050</v>
      </c>
      <c r="E7" s="20">
        <v>130200</v>
      </c>
      <c r="F7" s="20"/>
      <c r="G7" s="20"/>
      <c r="H7" s="20">
        <v>300397.77</v>
      </c>
      <c r="I7" s="19"/>
      <c r="J7" s="19"/>
      <c r="K7" s="19">
        <v>55000</v>
      </c>
      <c r="L7" s="19">
        <v>53800</v>
      </c>
      <c r="M7" s="26"/>
    </row>
    <row r="8" spans="2:13" x14ac:dyDescent="0.3">
      <c r="B8" s="1">
        <v>45047</v>
      </c>
      <c r="C8" s="20"/>
      <c r="D8" s="21">
        <v>106165</v>
      </c>
      <c r="E8" s="20">
        <v>283158.33600000001</v>
      </c>
      <c r="F8" s="20"/>
      <c r="G8" s="20"/>
      <c r="H8" s="20">
        <v>206277</v>
      </c>
      <c r="I8" s="19"/>
      <c r="J8" s="19"/>
      <c r="K8" s="19">
        <v>70950</v>
      </c>
      <c r="L8" s="19">
        <v>68499.606</v>
      </c>
      <c r="M8" s="26"/>
    </row>
    <row r="9" spans="2:13" x14ac:dyDescent="0.3">
      <c r="B9" s="1">
        <v>45078</v>
      </c>
      <c r="C9" s="16">
        <v>157900</v>
      </c>
      <c r="D9" s="17">
        <v>103500</v>
      </c>
      <c r="E9" s="16">
        <v>286477</v>
      </c>
      <c r="F9" s="16"/>
      <c r="G9" s="16"/>
      <c r="H9" s="16">
        <v>233940</v>
      </c>
      <c r="I9" s="19"/>
      <c r="J9" s="19"/>
      <c r="K9" s="19"/>
      <c r="L9" s="19"/>
      <c r="M9" s="26"/>
    </row>
    <row r="10" spans="2:13" x14ac:dyDescent="0.3">
      <c r="B10" s="1">
        <v>45108</v>
      </c>
      <c r="C10" s="16">
        <v>304800</v>
      </c>
      <c r="D10" s="17">
        <v>67150</v>
      </c>
      <c r="E10" s="16">
        <v>105299.99999999999</v>
      </c>
      <c r="F10" s="16"/>
      <c r="G10" s="16"/>
      <c r="H10" s="16">
        <v>269203</v>
      </c>
      <c r="I10" s="19"/>
      <c r="J10" s="19"/>
      <c r="K10" s="12">
        <v>52350</v>
      </c>
      <c r="L10" s="12">
        <v>52150.000000000015</v>
      </c>
      <c r="M10" s="26"/>
    </row>
    <row r="11" spans="2:13" x14ac:dyDescent="0.3">
      <c r="B11" s="1">
        <v>45139</v>
      </c>
      <c r="C11" s="16">
        <v>261933</v>
      </c>
      <c r="D11" s="19"/>
      <c r="E11" s="16">
        <v>121000</v>
      </c>
      <c r="F11" s="16"/>
      <c r="G11" s="16"/>
      <c r="H11" s="16">
        <v>403777</v>
      </c>
      <c r="I11" s="19"/>
      <c r="J11" s="19"/>
      <c r="K11" s="12">
        <v>74280</v>
      </c>
      <c r="L11" s="19"/>
      <c r="M11" s="26"/>
    </row>
    <row r="12" spans="2:13" x14ac:dyDescent="0.3">
      <c r="B12" s="1">
        <v>45170</v>
      </c>
      <c r="C12" s="16">
        <v>169200</v>
      </c>
      <c r="D12" s="17">
        <v>177700</v>
      </c>
      <c r="E12" s="19"/>
      <c r="F12" s="19"/>
      <c r="G12" s="19"/>
      <c r="H12" s="16">
        <v>188000</v>
      </c>
      <c r="I12" s="19"/>
      <c r="J12" s="19"/>
      <c r="K12" s="12">
        <v>54070</v>
      </c>
      <c r="L12" s="12">
        <v>55000</v>
      </c>
      <c r="M12" s="26"/>
    </row>
    <row r="13" spans="2:13" x14ac:dyDescent="0.3">
      <c r="B13" s="1">
        <v>45200</v>
      </c>
      <c r="C13" s="16">
        <v>206500</v>
      </c>
      <c r="D13" s="17">
        <v>142450</v>
      </c>
      <c r="E13" s="19"/>
      <c r="F13" s="19"/>
      <c r="G13" s="19"/>
      <c r="H13" s="16">
        <v>379066</v>
      </c>
      <c r="I13" s="19"/>
      <c r="J13" s="19"/>
      <c r="K13" s="12">
        <v>52900</v>
      </c>
      <c r="L13" s="12">
        <v>56600</v>
      </c>
      <c r="M13" s="26"/>
    </row>
    <row r="14" spans="2:13" x14ac:dyDescent="0.3">
      <c r="B14" s="1">
        <v>45231</v>
      </c>
      <c r="C14" s="16">
        <v>357290</v>
      </c>
      <c r="D14" s="19"/>
      <c r="E14" s="19"/>
      <c r="F14" s="19"/>
      <c r="G14" s="19"/>
      <c r="H14" s="16">
        <v>418773</v>
      </c>
      <c r="I14" s="19"/>
      <c r="J14" s="19"/>
      <c r="K14" s="12">
        <v>52540</v>
      </c>
      <c r="L14" s="19"/>
      <c r="M14" s="26"/>
    </row>
    <row r="15" spans="2:13" x14ac:dyDescent="0.3">
      <c r="B15" s="36">
        <v>45261</v>
      </c>
      <c r="C15" s="16">
        <v>167935</v>
      </c>
      <c r="D15" s="17">
        <v>330795</v>
      </c>
      <c r="E15" s="19"/>
      <c r="F15" s="19"/>
      <c r="G15" s="19"/>
      <c r="H15" s="16">
        <v>406070</v>
      </c>
      <c r="I15" s="19"/>
      <c r="J15" s="19"/>
      <c r="K15" s="12">
        <v>15000</v>
      </c>
      <c r="L15" s="19"/>
      <c r="M15" s="26"/>
    </row>
    <row r="18" spans="2:13" x14ac:dyDescent="0.3">
      <c r="B18"/>
      <c r="C18" s="26"/>
      <c r="J18" s="26"/>
    </row>
    <row r="19" spans="2:13" x14ac:dyDescent="0.3">
      <c r="B19"/>
    </row>
    <row r="20" spans="2:13" x14ac:dyDescent="0.3">
      <c r="B20"/>
      <c r="C20" s="26"/>
    </row>
    <row r="21" spans="2:13" x14ac:dyDescent="0.3">
      <c r="B21"/>
    </row>
    <row r="22" spans="2:13" x14ac:dyDescent="0.3">
      <c r="B22"/>
      <c r="C22" s="26"/>
    </row>
    <row r="23" spans="2:13" x14ac:dyDescent="0.3">
      <c r="B23"/>
    </row>
    <row r="24" spans="2:13" x14ac:dyDescent="0.3">
      <c r="B24"/>
      <c r="M24" s="26"/>
    </row>
    <row r="25" spans="2:13" x14ac:dyDescent="0.3">
      <c r="B25"/>
    </row>
    <row r="26" spans="2:13" x14ac:dyDescent="0.3">
      <c r="B26"/>
    </row>
    <row r="27" spans="2:13" x14ac:dyDescent="0.3">
      <c r="B27"/>
    </row>
    <row r="28" spans="2:13" x14ac:dyDescent="0.3">
      <c r="B28"/>
    </row>
    <row r="29" spans="2:13" x14ac:dyDescent="0.3">
      <c r="B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BB59-F180-4AAB-85A5-C66D3B1DC59D}">
  <dimension ref="B2:N25"/>
  <sheetViews>
    <sheetView zoomScale="85" workbookViewId="0">
      <selection activeCell="F29" sqref="F29"/>
    </sheetView>
  </sheetViews>
  <sheetFormatPr defaultRowHeight="14.4" x14ac:dyDescent="0.3"/>
  <cols>
    <col min="2" max="2" width="11.109375" bestFit="1" customWidth="1"/>
    <col min="3" max="4" width="11" bestFit="1" customWidth="1"/>
    <col min="5" max="5" width="11.109375" bestFit="1" customWidth="1"/>
    <col min="6" max="6" width="12.6640625" bestFit="1" customWidth="1"/>
    <col min="7" max="7" width="12.6640625" customWidth="1"/>
    <col min="8" max="8" width="11" bestFit="1" customWidth="1"/>
    <col min="9" max="10" width="11.21875" bestFit="1" customWidth="1"/>
    <col min="11" max="12" width="12.44140625" bestFit="1" customWidth="1"/>
    <col min="13" max="13" width="10.5546875" bestFit="1" customWidth="1"/>
    <col min="14" max="14" width="11.6640625" bestFit="1" customWidth="1"/>
  </cols>
  <sheetData>
    <row r="2" spans="2:13" x14ac:dyDescent="0.3">
      <c r="B2" s="4"/>
    </row>
    <row r="3" spans="2:13" ht="16.8" customHeight="1" x14ac:dyDescent="0.3">
      <c r="B3" s="42" t="s">
        <v>17</v>
      </c>
      <c r="C3" s="3" t="s">
        <v>15</v>
      </c>
      <c r="D3" s="3" t="s">
        <v>3</v>
      </c>
      <c r="E3" s="3" t="s">
        <v>4</v>
      </c>
      <c r="F3" s="3" t="s">
        <v>16</v>
      </c>
      <c r="G3" s="3" t="s">
        <v>18</v>
      </c>
      <c r="H3" s="40" t="s">
        <v>22</v>
      </c>
      <c r="I3" s="2" t="s">
        <v>7</v>
      </c>
      <c r="J3" s="2" t="s">
        <v>8</v>
      </c>
      <c r="K3" s="2" t="s">
        <v>9</v>
      </c>
      <c r="L3" s="2" t="s">
        <v>12</v>
      </c>
    </row>
    <row r="4" spans="2:13" x14ac:dyDescent="0.3">
      <c r="B4" s="36">
        <v>45292</v>
      </c>
      <c r="C4" s="20">
        <v>45000</v>
      </c>
      <c r="D4" s="21">
        <v>567211</v>
      </c>
      <c r="E4" s="19"/>
      <c r="F4" s="19"/>
      <c r="G4" s="19"/>
      <c r="H4" s="20">
        <v>242500</v>
      </c>
      <c r="I4" s="19"/>
      <c r="J4" s="19"/>
      <c r="K4" s="19">
        <v>55000</v>
      </c>
      <c r="L4" s="19"/>
      <c r="M4" s="26"/>
    </row>
    <row r="5" spans="2:13" x14ac:dyDescent="0.3">
      <c r="B5" s="36">
        <v>45323</v>
      </c>
      <c r="C5" s="16">
        <v>49030.000000000015</v>
      </c>
      <c r="D5" s="17">
        <v>219400</v>
      </c>
      <c r="E5" s="19"/>
      <c r="F5" s="19"/>
      <c r="G5" s="19"/>
      <c r="H5" s="16">
        <v>75000</v>
      </c>
      <c r="I5" s="19"/>
      <c r="J5" s="19"/>
      <c r="K5" s="19"/>
      <c r="L5" s="12">
        <v>143555</v>
      </c>
      <c r="M5" s="26"/>
    </row>
    <row r="6" spans="2:13" x14ac:dyDescent="0.3">
      <c r="B6" s="36">
        <v>45352</v>
      </c>
      <c r="C6" s="20">
        <v>292071</v>
      </c>
      <c r="D6" s="21">
        <v>135380</v>
      </c>
      <c r="E6" s="19"/>
      <c r="F6" s="20">
        <v>139424</v>
      </c>
      <c r="G6" s="20"/>
      <c r="H6" s="20">
        <v>327456</v>
      </c>
      <c r="I6" s="19"/>
      <c r="J6" s="19"/>
      <c r="K6" s="19">
        <v>106400</v>
      </c>
      <c r="L6" s="19">
        <v>249800</v>
      </c>
      <c r="M6" s="26"/>
    </row>
    <row r="7" spans="2:13" x14ac:dyDescent="0.3">
      <c r="B7" s="36">
        <v>45383</v>
      </c>
      <c r="C7" s="20">
        <v>233622</v>
      </c>
      <c r="D7" s="21">
        <v>292201</v>
      </c>
      <c r="E7" s="19"/>
      <c r="F7" s="20">
        <v>66990</v>
      </c>
      <c r="G7" s="20"/>
      <c r="H7" s="20">
        <v>269850</v>
      </c>
      <c r="I7" s="19"/>
      <c r="J7" s="19">
        <v>71399.999999999985</v>
      </c>
      <c r="K7" s="19"/>
      <c r="L7" s="19"/>
      <c r="M7" s="26"/>
    </row>
    <row r="8" spans="2:13" x14ac:dyDescent="0.3">
      <c r="B8" s="36">
        <v>45413</v>
      </c>
      <c r="C8" s="27">
        <v>247266</v>
      </c>
      <c r="D8" s="27">
        <v>353450</v>
      </c>
      <c r="E8" s="19"/>
      <c r="F8" s="27">
        <v>73400.000000000029</v>
      </c>
      <c r="G8" s="27"/>
      <c r="H8" s="27">
        <v>412230</v>
      </c>
      <c r="I8" s="19"/>
      <c r="J8" s="19"/>
      <c r="K8" s="22">
        <v>85260</v>
      </c>
      <c r="L8" s="19"/>
      <c r="M8" s="26"/>
    </row>
    <row r="9" spans="2:13" x14ac:dyDescent="0.3">
      <c r="B9" s="36">
        <v>45444</v>
      </c>
      <c r="C9" s="16">
        <v>351610</v>
      </c>
      <c r="D9" s="17">
        <v>334817</v>
      </c>
      <c r="E9" s="19"/>
      <c r="F9" s="19"/>
      <c r="G9" s="19"/>
      <c r="H9" s="16">
        <v>421280</v>
      </c>
      <c r="I9" s="19"/>
      <c r="J9" s="19"/>
      <c r="K9" s="12">
        <v>53830</v>
      </c>
      <c r="L9" s="19"/>
      <c r="M9" s="26"/>
    </row>
    <row r="10" spans="2:13" x14ac:dyDescent="0.3">
      <c r="B10" s="36">
        <v>45474</v>
      </c>
      <c r="C10" s="16">
        <v>279575</v>
      </c>
      <c r="D10" s="17">
        <v>295175</v>
      </c>
      <c r="E10" s="19"/>
      <c r="F10" s="19"/>
      <c r="G10" s="19"/>
      <c r="H10" s="16">
        <v>292669</v>
      </c>
      <c r="I10" s="19"/>
      <c r="J10" s="12">
        <v>70849.999999999985</v>
      </c>
      <c r="K10" s="19"/>
      <c r="L10" s="19"/>
      <c r="M10" s="26"/>
    </row>
    <row r="11" spans="2:13" x14ac:dyDescent="0.3">
      <c r="B11" s="36">
        <v>45505</v>
      </c>
      <c r="C11" s="16">
        <v>305900</v>
      </c>
      <c r="D11" s="16">
        <v>461465</v>
      </c>
      <c r="E11" s="19"/>
      <c r="F11" s="19"/>
      <c r="G11" s="19"/>
      <c r="H11" s="16">
        <v>354376</v>
      </c>
      <c r="I11" s="19"/>
      <c r="J11" s="19"/>
      <c r="K11" s="19"/>
      <c r="L11" s="19"/>
      <c r="M11" s="26"/>
    </row>
    <row r="12" spans="2:13" x14ac:dyDescent="0.3">
      <c r="B12" s="36">
        <v>45536</v>
      </c>
      <c r="C12" s="16">
        <v>254236</v>
      </c>
      <c r="D12" s="17">
        <v>259470</v>
      </c>
      <c r="E12" s="19"/>
      <c r="F12" s="19"/>
      <c r="G12" s="19"/>
      <c r="H12" s="16">
        <v>417834</v>
      </c>
      <c r="I12" s="19"/>
      <c r="J12" s="19"/>
      <c r="K12" s="12">
        <v>19120</v>
      </c>
      <c r="L12" s="19"/>
      <c r="M12" s="26"/>
    </row>
    <row r="13" spans="2:13" x14ac:dyDescent="0.3">
      <c r="B13" s="36">
        <v>45566</v>
      </c>
      <c r="C13" s="16">
        <v>379447</v>
      </c>
      <c r="D13" s="16">
        <v>376460</v>
      </c>
      <c r="E13" s="19"/>
      <c r="F13" s="19"/>
      <c r="G13" s="19"/>
      <c r="H13" s="16">
        <v>482592</v>
      </c>
      <c r="I13" s="19"/>
      <c r="J13" s="19"/>
      <c r="K13" s="19"/>
      <c r="L13" s="19"/>
      <c r="M13" s="26"/>
    </row>
    <row r="14" spans="2:13" x14ac:dyDescent="0.3">
      <c r="B14" s="36">
        <v>45597</v>
      </c>
      <c r="C14" s="16">
        <v>331362</v>
      </c>
      <c r="D14" s="17">
        <v>349798</v>
      </c>
      <c r="E14" s="19"/>
      <c r="F14" s="19"/>
      <c r="G14" s="19"/>
      <c r="H14" s="16">
        <v>275671</v>
      </c>
      <c r="I14" s="19"/>
      <c r="J14" s="12">
        <v>61334</v>
      </c>
      <c r="K14" s="12">
        <v>54400</v>
      </c>
      <c r="L14" s="19"/>
      <c r="M14" s="26"/>
    </row>
    <row r="15" spans="2:13" x14ac:dyDescent="0.3">
      <c r="B15" s="36">
        <v>45627</v>
      </c>
      <c r="C15" s="16">
        <v>364621.5</v>
      </c>
      <c r="D15" s="17">
        <v>314820.5</v>
      </c>
      <c r="E15" s="19"/>
      <c r="F15" s="19"/>
      <c r="G15" s="19"/>
      <c r="H15" s="16">
        <v>427533</v>
      </c>
      <c r="I15" s="19"/>
      <c r="J15" s="12">
        <v>45060</v>
      </c>
      <c r="K15" s="12">
        <v>144255</v>
      </c>
      <c r="L15" s="12">
        <v>197580</v>
      </c>
      <c r="M15" s="26"/>
    </row>
    <row r="20" spans="5:14" x14ac:dyDescent="0.3">
      <c r="E20" s="23"/>
    </row>
    <row r="25" spans="5:14" x14ac:dyDescent="0.3">
      <c r="N25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ABBD-FB08-40C9-A483-3169B136D110}">
  <dimension ref="B2:M16"/>
  <sheetViews>
    <sheetView zoomScale="95" workbookViewId="0">
      <selection activeCell="M3" sqref="M3:N19"/>
    </sheetView>
  </sheetViews>
  <sheetFormatPr defaultRowHeight="14.4" x14ac:dyDescent="0.3"/>
  <cols>
    <col min="2" max="2" width="12.44140625" customWidth="1"/>
    <col min="3" max="3" width="9" bestFit="1" customWidth="1"/>
    <col min="4" max="4" width="10" bestFit="1" customWidth="1"/>
    <col min="5" max="6" width="10" customWidth="1"/>
    <col min="7" max="7" width="11.5546875" bestFit="1" customWidth="1"/>
    <col min="8" max="8" width="8.5546875" bestFit="1" customWidth="1"/>
    <col min="10" max="10" width="11.21875" bestFit="1" customWidth="1"/>
    <col min="11" max="11" width="9.6640625" bestFit="1" customWidth="1"/>
    <col min="12" max="12" width="12.33203125" bestFit="1" customWidth="1"/>
    <col min="13" max="13" width="10.5546875" bestFit="1" customWidth="1"/>
  </cols>
  <sheetData>
    <row r="2" spans="2:13" x14ac:dyDescent="0.3">
      <c r="B2" s="4"/>
    </row>
    <row r="3" spans="2:13" ht="13.2" customHeight="1" x14ac:dyDescent="0.3">
      <c r="B3" s="41" t="s">
        <v>17</v>
      </c>
      <c r="C3" s="3" t="s">
        <v>15</v>
      </c>
      <c r="D3" s="3" t="s">
        <v>3</v>
      </c>
      <c r="E3" s="3" t="s">
        <v>4</v>
      </c>
      <c r="F3" s="3" t="s">
        <v>16</v>
      </c>
      <c r="G3" s="31" t="s">
        <v>18</v>
      </c>
      <c r="H3" s="39" t="s">
        <v>23</v>
      </c>
      <c r="I3" s="2" t="s">
        <v>7</v>
      </c>
      <c r="J3" s="9" t="s">
        <v>8</v>
      </c>
      <c r="K3" s="2" t="s">
        <v>9</v>
      </c>
      <c r="L3" s="2" t="s">
        <v>12</v>
      </c>
    </row>
    <row r="4" spans="2:13" x14ac:dyDescent="0.3">
      <c r="B4" s="36">
        <v>45658</v>
      </c>
      <c r="C4" s="32">
        <v>34890</v>
      </c>
      <c r="D4" s="33">
        <v>337322</v>
      </c>
      <c r="E4" s="33"/>
      <c r="F4" s="33"/>
      <c r="G4" s="32">
        <v>85000</v>
      </c>
      <c r="H4" s="32">
        <v>323240</v>
      </c>
      <c r="I4" s="19"/>
      <c r="J4" s="34">
        <v>118100</v>
      </c>
      <c r="K4" s="34">
        <v>112860</v>
      </c>
      <c r="L4" s="19"/>
      <c r="M4" s="26"/>
    </row>
    <row r="5" spans="2:13" x14ac:dyDescent="0.3">
      <c r="B5" s="36">
        <v>45689</v>
      </c>
      <c r="C5" s="32">
        <v>405150</v>
      </c>
      <c r="D5" s="33">
        <v>323730</v>
      </c>
      <c r="E5" s="33"/>
      <c r="F5" s="33"/>
      <c r="G5" s="19"/>
      <c r="H5" s="32">
        <v>277097</v>
      </c>
      <c r="I5" s="19"/>
      <c r="J5" s="34">
        <v>125030</v>
      </c>
      <c r="K5" s="34">
        <v>107950</v>
      </c>
      <c r="L5" s="19"/>
      <c r="M5" s="26"/>
    </row>
    <row r="6" spans="2:13" x14ac:dyDescent="0.3">
      <c r="B6" s="36">
        <v>45717</v>
      </c>
      <c r="C6" s="32">
        <v>428659</v>
      </c>
      <c r="D6" s="33">
        <v>221549</v>
      </c>
      <c r="E6" s="33"/>
      <c r="F6" s="33"/>
      <c r="G6" s="19"/>
      <c r="H6" s="32">
        <v>236140</v>
      </c>
      <c r="I6" s="19"/>
      <c r="J6" s="34">
        <v>76160</v>
      </c>
      <c r="K6" s="34">
        <v>107156</v>
      </c>
      <c r="L6" s="19"/>
      <c r="M6" s="26"/>
    </row>
    <row r="7" spans="2:13" x14ac:dyDescent="0.3">
      <c r="B7" s="36">
        <v>45748</v>
      </c>
      <c r="C7" s="32">
        <v>103950</v>
      </c>
      <c r="D7" s="33">
        <v>288538.86</v>
      </c>
      <c r="E7" s="33"/>
      <c r="F7" s="33"/>
      <c r="G7" s="32">
        <v>72900</v>
      </c>
      <c r="H7" s="32">
        <v>317815.14</v>
      </c>
      <c r="I7" s="19"/>
      <c r="J7" s="19"/>
      <c r="K7" s="34">
        <v>59800</v>
      </c>
      <c r="L7" s="19"/>
      <c r="M7" s="26"/>
    </row>
    <row r="8" spans="2:13" x14ac:dyDescent="0.3">
      <c r="B8" s="36">
        <v>45778</v>
      </c>
      <c r="C8" s="32">
        <v>352975</v>
      </c>
      <c r="D8" s="33">
        <v>406396</v>
      </c>
      <c r="E8" s="33"/>
      <c r="F8" s="33"/>
      <c r="G8" s="19"/>
      <c r="H8" s="32">
        <v>285170</v>
      </c>
      <c r="I8" s="19"/>
      <c r="J8" s="19"/>
      <c r="K8" s="34">
        <v>106800</v>
      </c>
      <c r="L8" s="19"/>
      <c r="M8" s="26"/>
    </row>
    <row r="9" spans="2:13" x14ac:dyDescent="0.3">
      <c r="B9" s="36">
        <v>45809</v>
      </c>
      <c r="C9" s="32">
        <v>340560</v>
      </c>
      <c r="D9" s="33">
        <v>354286</v>
      </c>
      <c r="E9" s="33"/>
      <c r="F9" s="33"/>
      <c r="G9" s="19"/>
      <c r="H9" s="32">
        <v>306375</v>
      </c>
      <c r="I9" s="19"/>
      <c r="J9" s="19"/>
      <c r="K9" s="34">
        <v>47000</v>
      </c>
      <c r="L9" s="19"/>
      <c r="M9" s="26"/>
    </row>
    <row r="10" spans="2:13" x14ac:dyDescent="0.3">
      <c r="B10" s="36">
        <v>45839</v>
      </c>
      <c r="C10" s="32">
        <v>134960</v>
      </c>
      <c r="D10" s="33">
        <v>215646</v>
      </c>
      <c r="E10" s="33"/>
      <c r="F10" s="33"/>
      <c r="G10" s="19"/>
      <c r="H10" s="32">
        <v>161850</v>
      </c>
      <c r="I10" s="19"/>
      <c r="J10" s="19"/>
      <c r="K10" s="34">
        <v>48500</v>
      </c>
      <c r="L10" s="19"/>
      <c r="M10" s="26"/>
    </row>
    <row r="11" spans="2:13" x14ac:dyDescent="0.3">
      <c r="B11" s="36">
        <v>45870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6"/>
    </row>
    <row r="12" spans="2:13" x14ac:dyDescent="0.3">
      <c r="B12" s="36">
        <v>45901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26"/>
    </row>
    <row r="13" spans="2:13" x14ac:dyDescent="0.3">
      <c r="B13" s="36">
        <v>45931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26"/>
    </row>
    <row r="14" spans="2:13" x14ac:dyDescent="0.3">
      <c r="B14" s="36">
        <v>45962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26"/>
    </row>
    <row r="15" spans="2:13" x14ac:dyDescent="0.3">
      <c r="B15" s="36">
        <v>45992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26"/>
    </row>
    <row r="16" spans="2:13" x14ac:dyDescent="0.3">
      <c r="M16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37F2-79B7-4E7B-B657-B0D246DD0E71}">
  <dimension ref="B2:K19"/>
  <sheetViews>
    <sheetView zoomScaleNormal="100" workbookViewId="0">
      <selection activeCell="D25" sqref="D25"/>
    </sheetView>
  </sheetViews>
  <sheetFormatPr defaultRowHeight="14.4" x14ac:dyDescent="0.3"/>
  <cols>
    <col min="3" max="3" width="11" bestFit="1" customWidth="1"/>
    <col min="4" max="4" width="8.5546875" bestFit="1" customWidth="1"/>
    <col min="5" max="5" width="8.5546875" customWidth="1"/>
    <col min="6" max="6" width="12.5546875" bestFit="1" customWidth="1"/>
    <col min="8" max="8" width="13" bestFit="1" customWidth="1"/>
    <col min="9" max="9" width="10" bestFit="1" customWidth="1"/>
    <col min="10" max="10" width="11.44140625" bestFit="1" customWidth="1"/>
    <col min="11" max="11" width="9.88671875" customWidth="1"/>
  </cols>
  <sheetData>
    <row r="2" spans="2:11" x14ac:dyDescent="0.3">
      <c r="B2" s="48" t="s">
        <v>0</v>
      </c>
      <c r="C2" s="53" t="s">
        <v>1</v>
      </c>
      <c r="D2" s="54"/>
      <c r="E2" s="55"/>
      <c r="F2" s="49" t="s">
        <v>5</v>
      </c>
      <c r="G2" s="51" t="s">
        <v>6</v>
      </c>
      <c r="H2" s="52"/>
      <c r="I2" s="6" t="s">
        <v>10</v>
      </c>
      <c r="J2" s="5" t="s">
        <v>11</v>
      </c>
      <c r="K2" s="43" t="s">
        <v>13</v>
      </c>
    </row>
    <row r="3" spans="2:11" ht="27.6" x14ac:dyDescent="0.3">
      <c r="B3" s="48"/>
      <c r="C3" s="30" t="s">
        <v>2</v>
      </c>
      <c r="D3" s="30" t="s">
        <v>3</v>
      </c>
      <c r="E3" s="30" t="s">
        <v>18</v>
      </c>
      <c r="F3" s="50"/>
      <c r="G3" s="2" t="s">
        <v>7</v>
      </c>
      <c r="H3" s="2" t="s">
        <v>8</v>
      </c>
      <c r="I3" s="2" t="s">
        <v>9</v>
      </c>
      <c r="J3" s="7" t="s">
        <v>12</v>
      </c>
      <c r="K3" s="44"/>
    </row>
    <row r="4" spans="2:11" x14ac:dyDescent="0.3">
      <c r="B4" s="1">
        <v>45870</v>
      </c>
      <c r="C4" s="10">
        <v>44175</v>
      </c>
      <c r="D4" s="11">
        <v>44175</v>
      </c>
      <c r="E4" s="10"/>
      <c r="F4" s="10">
        <v>71590</v>
      </c>
      <c r="G4" s="12"/>
      <c r="H4" s="12"/>
      <c r="I4" s="12">
        <v>19375</v>
      </c>
      <c r="J4" s="13"/>
      <c r="K4" s="14">
        <f>SUM(C4:J4)</f>
        <v>179315</v>
      </c>
    </row>
    <row r="5" spans="2:11" x14ac:dyDescent="0.3">
      <c r="B5" s="1"/>
      <c r="C5" s="10">
        <v>74190</v>
      </c>
      <c r="D5" s="11">
        <v>80800</v>
      </c>
      <c r="E5" s="29"/>
      <c r="F5" s="28">
        <v>73490</v>
      </c>
      <c r="G5" s="12"/>
      <c r="H5" s="12"/>
      <c r="I5" s="12"/>
      <c r="J5" s="13"/>
      <c r="K5" s="14">
        <f t="shared" ref="K5:K18" si="0">SUM(C5:J5)</f>
        <v>228480</v>
      </c>
    </row>
    <row r="6" spans="2:11" x14ac:dyDescent="0.3">
      <c r="B6" s="1"/>
      <c r="C6" s="10"/>
      <c r="D6" s="11">
        <v>74000.000000000015</v>
      </c>
      <c r="E6" s="10"/>
      <c r="F6" s="12">
        <v>71871</v>
      </c>
      <c r="G6" s="12"/>
      <c r="H6" s="12"/>
      <c r="I6" s="12"/>
      <c r="J6" s="13"/>
      <c r="K6" s="14">
        <f t="shared" si="0"/>
        <v>145871</v>
      </c>
    </row>
    <row r="7" spans="2:11" x14ac:dyDescent="0.3">
      <c r="B7" s="1"/>
      <c r="C7" s="10"/>
      <c r="D7" s="10"/>
      <c r="E7" s="10"/>
      <c r="F7" s="12"/>
      <c r="G7" s="12"/>
      <c r="H7" s="12"/>
      <c r="I7" s="12"/>
      <c r="J7" s="13"/>
      <c r="K7" s="14">
        <f t="shared" si="0"/>
        <v>0</v>
      </c>
    </row>
    <row r="8" spans="2:11" x14ac:dyDescent="0.3">
      <c r="B8" s="1"/>
      <c r="C8" s="10"/>
      <c r="D8" s="11"/>
      <c r="E8" s="10"/>
      <c r="F8" s="10"/>
      <c r="G8" s="12"/>
      <c r="H8" s="12"/>
      <c r="I8" s="12"/>
      <c r="J8" s="13"/>
      <c r="K8" s="14">
        <f t="shared" si="0"/>
        <v>0</v>
      </c>
    </row>
    <row r="9" spans="2:11" x14ac:dyDescent="0.3">
      <c r="B9" s="1"/>
      <c r="C9" s="10"/>
      <c r="D9" s="11"/>
      <c r="E9" s="10"/>
      <c r="F9" s="10"/>
      <c r="G9" s="12"/>
      <c r="H9" s="12"/>
      <c r="I9" s="12"/>
      <c r="J9" s="13"/>
      <c r="K9" s="14">
        <f t="shared" si="0"/>
        <v>0</v>
      </c>
    </row>
    <row r="10" spans="2:11" x14ac:dyDescent="0.3">
      <c r="B10" s="1"/>
      <c r="C10" s="10"/>
      <c r="D10" s="11"/>
      <c r="E10" s="29"/>
      <c r="F10" s="26"/>
      <c r="H10" s="12"/>
      <c r="I10" s="12"/>
      <c r="J10" s="13"/>
      <c r="K10" s="14">
        <f t="shared" si="0"/>
        <v>0</v>
      </c>
    </row>
    <row r="11" spans="2:11" x14ac:dyDescent="0.3">
      <c r="B11" s="1"/>
      <c r="C11" s="10"/>
      <c r="D11" s="11"/>
      <c r="E11" s="10"/>
      <c r="F11" s="10"/>
      <c r="G11" s="12"/>
      <c r="H11" s="12"/>
      <c r="I11" s="12"/>
      <c r="J11" s="13"/>
      <c r="K11" s="14">
        <f t="shared" si="0"/>
        <v>0</v>
      </c>
    </row>
    <row r="12" spans="2:11" x14ac:dyDescent="0.3">
      <c r="B12" s="1"/>
      <c r="C12" s="10"/>
      <c r="D12" s="11"/>
      <c r="E12" s="10"/>
      <c r="F12" s="10"/>
      <c r="G12" s="12"/>
      <c r="H12" s="12"/>
      <c r="I12" s="12"/>
      <c r="J12" s="13"/>
      <c r="K12" s="14">
        <f t="shared" si="0"/>
        <v>0</v>
      </c>
    </row>
    <row r="13" spans="2:11" x14ac:dyDescent="0.3">
      <c r="B13" s="1"/>
      <c r="C13" s="10"/>
      <c r="D13" s="11"/>
      <c r="E13" s="10"/>
      <c r="F13" s="10"/>
      <c r="G13" s="12"/>
      <c r="H13" s="12"/>
      <c r="I13" s="12"/>
      <c r="J13" s="13"/>
      <c r="K13" s="14">
        <f t="shared" si="0"/>
        <v>0</v>
      </c>
    </row>
    <row r="14" spans="2:11" x14ac:dyDescent="0.3">
      <c r="B14" s="1"/>
      <c r="C14" s="10"/>
      <c r="D14" s="11"/>
      <c r="E14" s="10"/>
      <c r="F14" s="10"/>
      <c r="G14" s="12"/>
      <c r="H14" s="12"/>
      <c r="I14" s="12"/>
      <c r="J14" s="13"/>
      <c r="K14" s="14">
        <f t="shared" si="0"/>
        <v>0</v>
      </c>
    </row>
    <row r="15" spans="2:11" x14ac:dyDescent="0.3">
      <c r="B15" s="1"/>
      <c r="C15" s="10"/>
      <c r="D15" s="11"/>
      <c r="E15" s="10"/>
      <c r="F15" s="10"/>
      <c r="G15" s="12"/>
      <c r="H15" s="24"/>
      <c r="I15" s="24"/>
      <c r="J15" s="25"/>
      <c r="K15" s="14">
        <f t="shared" si="0"/>
        <v>0</v>
      </c>
    </row>
    <row r="16" spans="2:11" x14ac:dyDescent="0.3">
      <c r="B16" s="1"/>
      <c r="C16" s="10"/>
      <c r="D16" s="11"/>
      <c r="E16" s="10"/>
      <c r="F16" s="10"/>
      <c r="G16" s="12"/>
      <c r="H16" s="24"/>
      <c r="I16" s="24"/>
      <c r="J16" s="25"/>
      <c r="K16" s="14">
        <f t="shared" si="0"/>
        <v>0</v>
      </c>
    </row>
    <row r="17" spans="2:11" x14ac:dyDescent="0.3">
      <c r="B17" s="1"/>
      <c r="C17" s="10"/>
      <c r="D17" s="11"/>
      <c r="E17" s="10"/>
      <c r="F17" s="10"/>
      <c r="G17" s="12"/>
      <c r="H17" s="24"/>
      <c r="I17" s="24"/>
      <c r="J17" s="25"/>
      <c r="K17" s="14">
        <f t="shared" si="0"/>
        <v>0</v>
      </c>
    </row>
    <row r="18" spans="2:11" x14ac:dyDescent="0.3">
      <c r="B18" s="1"/>
      <c r="C18" s="10"/>
      <c r="D18" s="10"/>
      <c r="E18" s="10"/>
      <c r="F18" s="10"/>
      <c r="G18" s="12"/>
      <c r="H18" s="24"/>
      <c r="I18" s="24"/>
      <c r="J18" s="25"/>
      <c r="K18" s="14">
        <f t="shared" si="0"/>
        <v>0</v>
      </c>
    </row>
    <row r="19" spans="2:11" x14ac:dyDescent="0.3">
      <c r="B19" s="45" t="s">
        <v>14</v>
      </c>
      <c r="C19" s="46"/>
      <c r="D19" s="46"/>
      <c r="E19" s="46"/>
      <c r="F19" s="46"/>
      <c r="G19" s="46"/>
      <c r="H19" s="46"/>
      <c r="I19" s="46"/>
      <c r="J19" s="47"/>
      <c r="K19" s="15">
        <f>SUM(K4:K18)</f>
        <v>553666</v>
      </c>
    </row>
  </sheetData>
  <mergeCells count="6">
    <mergeCell ref="K2:K3"/>
    <mergeCell ref="B19:J19"/>
    <mergeCell ref="B2:B3"/>
    <mergeCell ref="F2:F3"/>
    <mergeCell ref="G2:H2"/>
    <mergeCell ref="C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Mapping</vt:lpstr>
      <vt:lpstr>2023</vt:lpstr>
      <vt:lpstr>2024</vt:lpstr>
      <vt:lpstr>2025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resma yunita</dc:creator>
  <cp:lastModifiedBy>resma yunita</cp:lastModifiedBy>
  <dcterms:created xsi:type="dcterms:W3CDTF">2025-08-19T01:44:53Z</dcterms:created>
  <dcterms:modified xsi:type="dcterms:W3CDTF">2025-08-29T10:28:50Z</dcterms:modified>
</cp:coreProperties>
</file>
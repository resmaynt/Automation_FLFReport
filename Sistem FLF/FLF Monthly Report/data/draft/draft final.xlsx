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MT6\MAGANG\MAGANG ITM\Intern\FLF Automation System\Dashboard FLF\Excel FLF\draft\"/>
    </mc:Choice>
  </mc:AlternateContent>
  <xr:revisionPtr revIDLastSave="0" documentId="13_ncr:1_{955C3E44-A408-472C-88B2-055F694AC004}" xr6:coauthVersionLast="45" xr6:coauthVersionMax="45" xr10:uidLastSave="{00000000-0000-0000-0000-000000000000}"/>
  <bookViews>
    <workbookView xWindow="2820" yWindow="2820" windowWidth="11496" windowHeight="6384" activeTab="1" xr2:uid="{00000000-000D-0000-FFFF-FFFF00000000}"/>
  </bookViews>
  <sheets>
    <sheet name="Mapping" sheetId="1" r:id="rId1"/>
    <sheet name="2023" sheetId="2" r:id="rId2"/>
    <sheet name="2024" sheetId="3" r:id="rId3"/>
    <sheet name="2025" sheetId="4" r:id="rId4"/>
    <sheet name="2026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16" i="4" l="1"/>
  <c r="L16" i="4"/>
  <c r="K16" i="4"/>
  <c r="J16" i="4"/>
  <c r="I16" i="4"/>
  <c r="H16" i="4"/>
  <c r="G16" i="4"/>
  <c r="F16" i="4"/>
  <c r="E16" i="4"/>
  <c r="D16" i="4"/>
  <c r="C16" i="4"/>
  <c r="M16" i="3"/>
  <c r="L16" i="3"/>
  <c r="K16" i="3"/>
  <c r="J16" i="3"/>
  <c r="I16" i="3"/>
  <c r="H16" i="3"/>
  <c r="G16" i="3"/>
  <c r="F16" i="3"/>
  <c r="E16" i="3"/>
  <c r="D16" i="3"/>
  <c r="C16" i="3"/>
  <c r="D16" i="2"/>
  <c r="E16" i="2"/>
  <c r="F16" i="2"/>
  <c r="G16" i="2"/>
  <c r="H16" i="2"/>
  <c r="I16" i="2"/>
  <c r="J16" i="2"/>
  <c r="K16" i="2"/>
  <c r="L16" i="2"/>
  <c r="M16" i="2"/>
  <c r="C16" i="2"/>
</calcChain>
</file>

<file path=xl/sharedStrings.xml><?xml version="1.0" encoding="utf-8"?>
<sst xmlns="http://schemas.openxmlformats.org/spreadsheetml/2006/main" count="74" uniqueCount="21">
  <si>
    <t>FLF</t>
  </si>
  <si>
    <t>Group</t>
  </si>
  <si>
    <t>Apollo</t>
  </si>
  <si>
    <t>Rocktree</t>
  </si>
  <si>
    <t>Zeus</t>
  </si>
  <si>
    <t>Mara</t>
  </si>
  <si>
    <t>August</t>
  </si>
  <si>
    <t>Eagle</t>
  </si>
  <si>
    <t>WHS</t>
  </si>
  <si>
    <t>Bulk Java</t>
  </si>
  <si>
    <t>PSS</t>
  </si>
  <si>
    <t>Ratu Dewata</t>
  </si>
  <si>
    <t xml:space="preserve">Labor </t>
  </si>
  <si>
    <t>Stevedore</t>
  </si>
  <si>
    <t>Green Calypso</t>
  </si>
  <si>
    <t>Meranti</t>
  </si>
  <si>
    <t>Month/ Year</t>
  </si>
  <si>
    <t xml:space="preserve">WHS </t>
  </si>
  <si>
    <t>Labor</t>
  </si>
  <si>
    <t>FC Sumber 1001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</si>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</sst>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[$-409]mmm\-yy;@"/>
    <numFmt numFmtId="165" formatCode="_(* #,##0_);_(* \(#,##0\);_(* &quot;-&quot;??_);_(@_)"/>
    <numFmt numFmtId="166" formatCode="#,##0.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</borders>
  <cellStyleXfs count="6">
    <xf numFmtId="0" fontId="0" fillId="0" borderId="0"/>
    <xf numFmtId="43" fontId="1" fillId="0" borderId="0"/>
    <xf numFmtId="0" fontId="3" fillId="0" borderId="0"/>
    <xf numFmtId="0" fontId="1" fillId="0" borderId="0"/>
    <xf numFmtId="0" fontId="1" fillId="0" borderId="0"/>
    <xf numFmtId="0" fontId="1" fillId="0" borderId="0"/>
  </cellStyleXfs>
  <cellXfs count="32">
    <xf numFmtId="0" fontId="0" fillId="0" borderId="0" xfId="0"/>
    <xf numFmtId="0" fontId="5" fillId="2" borderId="1" xfId="2" applyFont="1" applyFill="1" applyBorder="1" applyAlignment="1">
      <alignment horizontal="center" vertical="top" wrapText="1"/>
    </xf>
    <xf numFmtId="0" fontId="0" fillId="0" borderId="0" xfId="0" applyAlignment="1">
      <alignment horizontal="center" vertical="center"/>
    </xf>
    <xf numFmtId="0" fontId="5" fillId="2" borderId="1" xfId="2" applyFont="1" applyFill="1" applyBorder="1" applyAlignment="1">
      <alignment horizontal="center" vertical="center"/>
    </xf>
    <xf numFmtId="0" fontId="6" fillId="0" borderId="1" xfId="3" applyFont="1" applyBorder="1" applyAlignment="1">
      <alignment horizontal="right" vertical="center"/>
    </xf>
    <xf numFmtId="0" fontId="5" fillId="2" borderId="1" xfId="2" applyFont="1" applyFill="1" applyBorder="1" applyAlignment="1">
      <alignment horizontal="center" vertical="top"/>
    </xf>
    <xf numFmtId="0" fontId="5" fillId="2" borderId="2" xfId="2" applyFont="1" applyFill="1" applyBorder="1" applyAlignment="1">
      <alignment horizontal="center" vertical="center"/>
    </xf>
    <xf numFmtId="0" fontId="5" fillId="2" borderId="2" xfId="2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 wrapText="1"/>
    </xf>
    <xf numFmtId="0" fontId="5" fillId="2" borderId="1" xfId="2" applyFont="1" applyFill="1" applyBorder="1" applyAlignment="1">
      <alignment vertical="center" wrapText="1"/>
    </xf>
    <xf numFmtId="0" fontId="5" fillId="2" borderId="2" xfId="2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164" fontId="6" fillId="0" borderId="1" xfId="3" applyNumberFormat="1" applyFont="1" applyBorder="1" applyAlignment="1">
      <alignment horizontal="center" vertical="center"/>
    </xf>
    <xf numFmtId="164" fontId="6" fillId="0" borderId="3" xfId="3" applyNumberFormat="1" applyFont="1" applyBorder="1" applyAlignment="1">
      <alignment horizontal="center" vertical="center"/>
    </xf>
    <xf numFmtId="165" fontId="6" fillId="0" borderId="1" xfId="1" applyNumberFormat="1" applyFont="1" applyBorder="1" applyAlignment="1">
      <alignment horizontal="right" vertical="center"/>
    </xf>
    <xf numFmtId="165" fontId="4" fillId="0" borderId="1" xfId="1" applyNumberFormat="1" applyFont="1" applyBorder="1" applyAlignment="1">
      <alignment horizontal="right"/>
    </xf>
    <xf numFmtId="165" fontId="4" fillId="0" borderId="1" xfId="1" applyNumberFormat="1" applyFont="1" applyBorder="1" applyAlignment="1">
      <alignment horizontal="right" vertical="center"/>
    </xf>
    <xf numFmtId="165" fontId="0" fillId="0" borderId="0" xfId="0" applyNumberFormat="1"/>
    <xf numFmtId="165" fontId="6" fillId="0" borderId="1" xfId="1" applyNumberFormat="1" applyFont="1" applyBorder="1" applyAlignment="1">
      <alignment vertical="center"/>
    </xf>
    <xf numFmtId="165" fontId="4" fillId="0" borderId="1" xfId="1" applyNumberFormat="1" applyFont="1" applyBorder="1" applyAlignment="1">
      <alignment horizontal="center" vertical="center"/>
    </xf>
    <xf numFmtId="166" fontId="4" fillId="0" borderId="1" xfId="3" applyNumberFormat="1" applyFont="1" applyBorder="1" applyAlignment="1">
      <alignment horizontal="right" vertical="center"/>
    </xf>
    <xf numFmtId="165" fontId="0" fillId="0" borderId="0" xfId="1" applyNumberFormat="1" applyFont="1"/>
    <xf numFmtId="165" fontId="7" fillId="0" borderId="1" xfId="1" applyNumberFormat="1" applyFont="1" applyBorder="1" applyAlignment="1">
      <alignment vertical="center"/>
    </xf>
    <xf numFmtId="165" fontId="8" fillId="0" borderId="1" xfId="1" applyNumberFormat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5" fillId="2" borderId="1" xfId="2" applyFont="1" applyFill="1" applyBorder="1" applyAlignment="1">
      <alignment horizontal="center" vertical="center" wrapText="1"/>
    </xf>
    <xf numFmtId="165" fontId="6" fillId="0" borderId="4" xfId="0" applyNumberFormat="1" applyFont="1" applyBorder="1"/>
    <xf numFmtId="0" fontId="0" fillId="0" borderId="0" xfId="0" applyFont="1"/>
    <xf numFmtId="0" fontId="0" fillId="3" borderId="4" xfId="0" applyFill="1" applyBorder="1" applyAlignment="1">
      <alignment horizontal="center" vertical="center"/>
    </xf>
    <xf numFmtId="165" fontId="0" fillId="3" borderId="4" xfId="0" applyNumberFormat="1" applyFill="1" applyBorder="1"/>
  </cellXfs>
  <cellStyles count="6">
    <cellStyle name="Comma" xfId="1" builtinId="3"/>
    <cellStyle name="Normal" xfId="0" builtinId="0"/>
    <cellStyle name="Normal 13" xfId="5" xr:uid="{00000000-0005-0000-0000-000005000000}"/>
    <cellStyle name="Normal 17" xfId="4" xr:uid="{00000000-0005-0000-0000-000004000000}"/>
    <cellStyle name="Normal 2 3" xfId="2" xr:uid="{00000000-0005-0000-0000-000002000000}"/>
    <cellStyle name="Normal 9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3"/>
  <sheetViews>
    <sheetView workbookViewId="0">
      <selection activeCell="C18" sqref="C18"/>
    </sheetView>
  </sheetViews>
  <sheetFormatPr defaultRowHeight="14.4" x14ac:dyDescent="0.3"/>
  <cols>
    <col min="2" max="2" width="14.109375" bestFit="1" customWidth="1"/>
    <col min="3" max="3" width="12.21875" bestFit="1" customWidth="1"/>
  </cols>
  <sheetData>
    <row r="2" spans="2:3" x14ac:dyDescent="0.3">
      <c r="B2" s="3" t="s">
        <v>0</v>
      </c>
      <c r="C2" s="3" t="s">
        <v>1</v>
      </c>
    </row>
    <row r="3" spans="2:3" x14ac:dyDescent="0.3">
      <c r="B3" s="14" t="s">
        <v>2</v>
      </c>
      <c r="C3" s="14" t="s">
        <v>3</v>
      </c>
    </row>
    <row r="4" spans="2:3" x14ac:dyDescent="0.3">
      <c r="B4" s="14" t="s">
        <v>4</v>
      </c>
      <c r="C4" s="14" t="s">
        <v>3</v>
      </c>
    </row>
    <row r="5" spans="2:3" x14ac:dyDescent="0.3">
      <c r="B5" s="14" t="s">
        <v>5</v>
      </c>
      <c r="C5" s="14" t="s">
        <v>3</v>
      </c>
    </row>
    <row r="6" spans="2:3" x14ac:dyDescent="0.3">
      <c r="B6" s="14" t="s">
        <v>6</v>
      </c>
      <c r="C6" s="14" t="s">
        <v>3</v>
      </c>
    </row>
    <row r="7" spans="2:3" x14ac:dyDescent="0.3">
      <c r="B7" s="14" t="s">
        <v>7</v>
      </c>
      <c r="C7" s="14" t="s">
        <v>3</v>
      </c>
    </row>
    <row r="8" spans="2:3" x14ac:dyDescent="0.3">
      <c r="B8" s="8" t="s">
        <v>8</v>
      </c>
      <c r="C8" s="8" t="s">
        <v>8</v>
      </c>
    </row>
    <row r="9" spans="2:3" x14ac:dyDescent="0.3">
      <c r="B9" s="14" t="s">
        <v>9</v>
      </c>
      <c r="C9" s="14" t="s">
        <v>10</v>
      </c>
    </row>
    <row r="10" spans="2:3" x14ac:dyDescent="0.3">
      <c r="B10" s="14" t="s">
        <v>11</v>
      </c>
      <c r="C10" s="14" t="s">
        <v>10</v>
      </c>
    </row>
    <row r="11" spans="2:3" x14ac:dyDescent="0.3">
      <c r="B11" s="14" t="s">
        <v>12</v>
      </c>
      <c r="C11" s="14" t="s">
        <v>13</v>
      </c>
    </row>
    <row r="12" spans="2:3" x14ac:dyDescent="0.3">
      <c r="B12" s="14" t="s">
        <v>14</v>
      </c>
      <c r="C12" s="14" t="s">
        <v>15</v>
      </c>
    </row>
    <row r="13" spans="2:3" x14ac:dyDescent="0.3">
      <c r="B13" s="26" t="s">
        <v>19</v>
      </c>
      <c r="C13" s="14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M24"/>
  <sheetViews>
    <sheetView tabSelected="1" zoomScale="119" zoomScaleNormal="70" workbookViewId="0">
      <selection activeCell="P11" sqref="P11"/>
    </sheetView>
  </sheetViews>
  <sheetFormatPr defaultRowHeight="14.4" x14ac:dyDescent="0.3"/>
  <cols>
    <col min="2" max="2" width="11.109375" style="2" bestFit="1" customWidth="1"/>
    <col min="3" max="3" width="17.77734375" customWidth="1"/>
    <col min="4" max="5" width="10.44140625" bestFit="1" customWidth="1"/>
    <col min="6" max="7" width="8.33203125" customWidth="1"/>
    <col min="8" max="8" width="10.44140625" bestFit="1" customWidth="1"/>
    <col min="9" max="9" width="10" bestFit="1" customWidth="1"/>
    <col min="10" max="10" width="11.21875" bestFit="1" customWidth="1"/>
    <col min="11" max="11" width="8.88671875" bestFit="1" customWidth="1"/>
    <col min="12" max="12" width="12.33203125" bestFit="1" customWidth="1"/>
    <col min="13" max="13" width="17" customWidth="1"/>
  </cols>
  <sheetData>
    <row r="1" spans="2:13" ht="13.2" customHeight="1" x14ac:dyDescent="0.3"/>
    <row r="2" spans="2:13" ht="13.2" customHeight="1" x14ac:dyDescent="0.3"/>
    <row r="3" spans="2:13" ht="14.4" customHeight="1" x14ac:dyDescent="0.3">
      <c r="B3" s="6" t="s">
        <v>16</v>
      </c>
      <c r="C3" s="27" t="s">
        <v>2</v>
      </c>
      <c r="D3" s="27" t="s">
        <v>4</v>
      </c>
      <c r="E3" s="27" t="s">
        <v>5</v>
      </c>
      <c r="F3" s="7" t="s">
        <v>6</v>
      </c>
      <c r="G3" s="7" t="s">
        <v>7</v>
      </c>
      <c r="H3" s="13" t="s">
        <v>17</v>
      </c>
      <c r="I3" s="27" t="s">
        <v>9</v>
      </c>
      <c r="J3" s="27" t="s">
        <v>11</v>
      </c>
      <c r="K3" s="27" t="s">
        <v>18</v>
      </c>
      <c r="L3" s="27" t="s">
        <v>14</v>
      </c>
      <c r="M3" s="3" t="s">
        <v>19</v>
      </c>
    </row>
    <row r="4" spans="2:13" x14ac:dyDescent="0.3">
      <c r="B4" s="15">
        <v>44927</v>
      </c>
      <c r="C4" s="16">
        <v>103509</v>
      </c>
      <c r="D4" s="17"/>
      <c r="E4" s="16">
        <v>108500</v>
      </c>
      <c r="F4" s="16"/>
      <c r="G4" s="16"/>
      <c r="H4" s="16">
        <v>128990</v>
      </c>
      <c r="I4" s="18"/>
      <c r="J4" s="18"/>
      <c r="K4" s="18">
        <v>54149</v>
      </c>
      <c r="L4" s="18"/>
      <c r="M4" s="28"/>
    </row>
    <row r="5" spans="2:13" x14ac:dyDescent="0.3">
      <c r="B5" s="15">
        <v>44958</v>
      </c>
      <c r="C5" s="16">
        <v>70250</v>
      </c>
      <c r="D5" s="16">
        <v>46280</v>
      </c>
      <c r="E5" s="16">
        <v>115700</v>
      </c>
      <c r="F5" s="16"/>
      <c r="G5" s="16"/>
      <c r="H5" s="16">
        <v>348800</v>
      </c>
      <c r="I5" s="18"/>
      <c r="J5" s="18"/>
      <c r="K5" s="18">
        <v>55000</v>
      </c>
      <c r="L5" s="18"/>
      <c r="M5" s="28"/>
    </row>
    <row r="6" spans="2:13" x14ac:dyDescent="0.3">
      <c r="B6" s="15">
        <v>44986</v>
      </c>
      <c r="C6" s="16">
        <v>275784</v>
      </c>
      <c r="D6" s="16">
        <v>224130</v>
      </c>
      <c r="E6" s="16">
        <v>33500</v>
      </c>
      <c r="F6" s="16"/>
      <c r="G6" s="16"/>
      <c r="H6" s="16">
        <v>270547</v>
      </c>
      <c r="I6" s="18"/>
      <c r="J6" s="18"/>
      <c r="K6" s="18">
        <v>54518.334000000003</v>
      </c>
      <c r="L6" s="18"/>
      <c r="M6" s="28"/>
    </row>
    <row r="7" spans="2:13" x14ac:dyDescent="0.3">
      <c r="B7" s="15">
        <v>45017</v>
      </c>
      <c r="C7" s="18"/>
      <c r="D7" s="16">
        <v>106050</v>
      </c>
      <c r="E7" s="16">
        <v>130200</v>
      </c>
      <c r="F7" s="16"/>
      <c r="G7" s="16"/>
      <c r="H7" s="16">
        <v>300397.77</v>
      </c>
      <c r="I7" s="18"/>
      <c r="J7" s="18"/>
      <c r="K7" s="18">
        <v>55000</v>
      </c>
      <c r="L7" s="18">
        <v>53800</v>
      </c>
      <c r="M7" s="28"/>
    </row>
    <row r="8" spans="2:13" x14ac:dyDescent="0.3">
      <c r="B8" s="15">
        <v>45047</v>
      </c>
      <c r="C8" s="16"/>
      <c r="D8" s="16">
        <v>106165</v>
      </c>
      <c r="E8" s="16">
        <v>283158.33600000001</v>
      </c>
      <c r="F8" s="16"/>
      <c r="G8" s="16"/>
      <c r="H8" s="16">
        <v>206277</v>
      </c>
      <c r="I8" s="18"/>
      <c r="J8" s="18"/>
      <c r="K8" s="18">
        <v>70950</v>
      </c>
      <c r="L8" s="18">
        <v>68499.606</v>
      </c>
      <c r="M8" s="28"/>
    </row>
    <row r="9" spans="2:13" x14ac:dyDescent="0.3">
      <c r="B9" s="15">
        <v>45078</v>
      </c>
      <c r="C9" s="20">
        <v>157900</v>
      </c>
      <c r="D9" s="20">
        <v>103500</v>
      </c>
      <c r="E9" s="20">
        <v>286477</v>
      </c>
      <c r="F9" s="20"/>
      <c r="G9" s="20"/>
      <c r="H9" s="20">
        <v>233940</v>
      </c>
      <c r="I9" s="18"/>
      <c r="J9" s="18"/>
      <c r="K9" s="18"/>
      <c r="L9" s="18"/>
      <c r="M9" s="28"/>
    </row>
    <row r="10" spans="2:13" x14ac:dyDescent="0.3">
      <c r="B10" s="15">
        <v>45108</v>
      </c>
      <c r="C10" s="20">
        <v>304800</v>
      </c>
      <c r="D10" s="20">
        <v>67150</v>
      </c>
      <c r="E10" s="20">
        <v>105300</v>
      </c>
      <c r="F10" s="20"/>
      <c r="G10" s="20"/>
      <c r="H10" s="20">
        <v>269203</v>
      </c>
      <c r="I10" s="18"/>
      <c r="J10" s="18"/>
      <c r="K10" s="21">
        <v>52350</v>
      </c>
      <c r="L10" s="21">
        <v>52150.000000000007</v>
      </c>
      <c r="M10" s="28"/>
    </row>
    <row r="11" spans="2:13" x14ac:dyDescent="0.3">
      <c r="B11" s="15">
        <v>45139</v>
      </c>
      <c r="C11" s="20">
        <v>261933</v>
      </c>
      <c r="D11" s="18"/>
      <c r="E11" s="20">
        <v>121000</v>
      </c>
      <c r="F11" s="20"/>
      <c r="G11" s="20"/>
      <c r="H11" s="20">
        <v>403777</v>
      </c>
      <c r="I11" s="18"/>
      <c r="J11" s="18"/>
      <c r="K11" s="21">
        <v>74280</v>
      </c>
      <c r="L11" s="18"/>
      <c r="M11" s="28"/>
    </row>
    <row r="12" spans="2:13" x14ac:dyDescent="0.3">
      <c r="B12" s="15">
        <v>45170</v>
      </c>
      <c r="C12" s="20">
        <v>169200</v>
      </c>
      <c r="D12" s="20">
        <v>177700</v>
      </c>
      <c r="E12" s="18"/>
      <c r="F12" s="18"/>
      <c r="G12" s="18"/>
      <c r="H12" s="20">
        <v>188000</v>
      </c>
      <c r="I12" s="18"/>
      <c r="J12" s="18"/>
      <c r="K12" s="21">
        <v>54070</v>
      </c>
      <c r="L12" s="21">
        <v>55000</v>
      </c>
      <c r="M12" s="28"/>
    </row>
    <row r="13" spans="2:13" x14ac:dyDescent="0.3">
      <c r="B13" s="15">
        <v>45200</v>
      </c>
      <c r="C13" s="20">
        <v>206500</v>
      </c>
      <c r="D13" s="20">
        <v>142450</v>
      </c>
      <c r="E13" s="18"/>
      <c r="F13" s="18"/>
      <c r="G13" s="18"/>
      <c r="H13" s="20">
        <v>379066</v>
      </c>
      <c r="I13" s="18"/>
      <c r="J13" s="18"/>
      <c r="K13" s="21">
        <v>52900</v>
      </c>
      <c r="L13" s="21">
        <v>56600</v>
      </c>
      <c r="M13" s="28"/>
    </row>
    <row r="14" spans="2:13" x14ac:dyDescent="0.3">
      <c r="B14" s="15">
        <v>45231</v>
      </c>
      <c r="C14" s="20">
        <v>357290</v>
      </c>
      <c r="D14" s="18"/>
      <c r="E14" s="18"/>
      <c r="F14" s="18"/>
      <c r="G14" s="18"/>
      <c r="H14" s="20">
        <v>418773</v>
      </c>
      <c r="I14" s="18"/>
      <c r="J14" s="18"/>
      <c r="K14" s="21">
        <v>52540</v>
      </c>
      <c r="L14" s="18"/>
      <c r="M14" s="28"/>
    </row>
    <row r="15" spans="2:13" x14ac:dyDescent="0.3">
      <c r="B15" s="14">
        <v>45261</v>
      </c>
      <c r="C15" s="20">
        <v>167935</v>
      </c>
      <c r="D15" s="20">
        <v>330795</v>
      </c>
      <c r="E15" s="18"/>
      <c r="F15" s="18"/>
      <c r="G15" s="18"/>
      <c r="H15" s="20">
        <v>406070</v>
      </c>
      <c r="I15" s="18"/>
      <c r="J15" s="18"/>
      <c r="K15" s="21">
        <v>15000</v>
      </c>
      <c r="L15" s="18"/>
      <c r="M15" s="28"/>
    </row>
    <row r="16" spans="2:13" x14ac:dyDescent="0.3">
      <c r="B16" s="30" t="s">
        <v>20</v>
      </c>
      <c r="C16" s="31">
        <f>SUM(C4:C15)</f>
        <v>2075101</v>
      </c>
      <c r="D16" s="31">
        <f t="shared" ref="D16:M16" si="0">SUM(D4:D15)</f>
        <v>1304220</v>
      </c>
      <c r="E16" s="31">
        <f t="shared" si="0"/>
        <v>1183835.3360000001</v>
      </c>
      <c r="F16" s="31">
        <f t="shared" si="0"/>
        <v>0</v>
      </c>
      <c r="G16" s="31">
        <f t="shared" si="0"/>
        <v>0</v>
      </c>
      <c r="H16" s="31">
        <f t="shared" si="0"/>
        <v>3553840.77</v>
      </c>
      <c r="I16" s="31">
        <f t="shared" si="0"/>
        <v>0</v>
      </c>
      <c r="J16" s="31">
        <f t="shared" si="0"/>
        <v>0</v>
      </c>
      <c r="K16" s="31">
        <f t="shared" si="0"/>
        <v>590757.33400000003</v>
      </c>
      <c r="L16" s="31">
        <f t="shared" si="0"/>
        <v>286049.60600000003</v>
      </c>
      <c r="M16" s="31">
        <f t="shared" si="0"/>
        <v>0</v>
      </c>
    </row>
    <row r="18" spans="3:13" x14ac:dyDescent="0.3">
      <c r="C18" s="19"/>
      <c r="J18" s="19"/>
    </row>
    <row r="20" spans="3:13" x14ac:dyDescent="0.3">
      <c r="C20" s="19"/>
    </row>
    <row r="22" spans="3:13" x14ac:dyDescent="0.3">
      <c r="C22" s="19"/>
    </row>
    <row r="24" spans="3:13" x14ac:dyDescent="0.3">
      <c r="M24" s="1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N25"/>
  <sheetViews>
    <sheetView zoomScale="97" workbookViewId="0">
      <selection activeCell="C16" sqref="C16"/>
    </sheetView>
  </sheetViews>
  <sheetFormatPr defaultRowHeight="14.4" x14ac:dyDescent="0.3"/>
  <cols>
    <col min="2" max="2" width="11.109375" bestFit="1" customWidth="1"/>
    <col min="3" max="4" width="11" bestFit="1" customWidth="1"/>
    <col min="5" max="5" width="11.109375" bestFit="1" customWidth="1"/>
    <col min="6" max="6" width="12.6640625" bestFit="1" customWidth="1"/>
    <col min="7" max="7" width="12.6640625" customWidth="1"/>
    <col min="8" max="8" width="11" bestFit="1" customWidth="1"/>
    <col min="9" max="10" width="11.21875" bestFit="1" customWidth="1"/>
    <col min="11" max="12" width="12.44140625" bestFit="1" customWidth="1"/>
    <col min="13" max="13" width="14" bestFit="1" customWidth="1"/>
    <col min="14" max="14" width="11.6640625" bestFit="1" customWidth="1"/>
  </cols>
  <sheetData>
    <row r="2" spans="2:13" x14ac:dyDescent="0.3">
      <c r="B2" s="2"/>
    </row>
    <row r="3" spans="2:13" ht="16.8" customHeight="1" x14ac:dyDescent="0.3">
      <c r="B3" s="12" t="s">
        <v>16</v>
      </c>
      <c r="C3" s="1" t="s">
        <v>2</v>
      </c>
      <c r="D3" s="1" t="s">
        <v>4</v>
      </c>
      <c r="E3" s="1" t="s">
        <v>5</v>
      </c>
      <c r="F3" s="1" t="s">
        <v>6</v>
      </c>
      <c r="G3" s="1" t="s">
        <v>7</v>
      </c>
      <c r="H3" s="10" t="s">
        <v>8</v>
      </c>
      <c r="I3" s="27" t="s">
        <v>9</v>
      </c>
      <c r="J3" s="27" t="s">
        <v>11</v>
      </c>
      <c r="K3" s="27" t="s">
        <v>18</v>
      </c>
      <c r="L3" s="27" t="s">
        <v>14</v>
      </c>
      <c r="M3" s="3" t="s">
        <v>19</v>
      </c>
    </row>
    <row r="4" spans="2:13" x14ac:dyDescent="0.3">
      <c r="B4" s="14">
        <v>45292</v>
      </c>
      <c r="C4" s="16">
        <v>45000</v>
      </c>
      <c r="D4" s="16">
        <v>567211</v>
      </c>
      <c r="E4" s="18"/>
      <c r="F4" s="18"/>
      <c r="G4" s="18"/>
      <c r="H4" s="16">
        <v>242500</v>
      </c>
      <c r="I4" s="18"/>
      <c r="J4" s="18"/>
      <c r="K4" s="18">
        <v>55000</v>
      </c>
      <c r="L4" s="18"/>
      <c r="M4" s="28"/>
    </row>
    <row r="5" spans="2:13" x14ac:dyDescent="0.3">
      <c r="B5" s="14">
        <v>45323</v>
      </c>
      <c r="C5" s="20">
        <v>49030.000000000007</v>
      </c>
      <c r="D5" s="20">
        <v>219400</v>
      </c>
      <c r="E5" s="18"/>
      <c r="F5" s="18"/>
      <c r="G5" s="18"/>
      <c r="H5" s="20">
        <v>75000</v>
      </c>
      <c r="I5" s="18"/>
      <c r="J5" s="18"/>
      <c r="K5" s="18"/>
      <c r="L5" s="21">
        <v>143555</v>
      </c>
      <c r="M5" s="28"/>
    </row>
    <row r="6" spans="2:13" x14ac:dyDescent="0.3">
      <c r="B6" s="14">
        <v>45352</v>
      </c>
      <c r="C6" s="16">
        <v>292071</v>
      </c>
      <c r="D6" s="16">
        <v>135380</v>
      </c>
      <c r="E6" s="18"/>
      <c r="F6" s="16">
        <v>139424</v>
      </c>
      <c r="G6" s="16"/>
      <c r="H6" s="16">
        <v>327456</v>
      </c>
      <c r="I6" s="18"/>
      <c r="J6" s="18"/>
      <c r="K6" s="18">
        <v>106400</v>
      </c>
      <c r="L6" s="18">
        <v>249800</v>
      </c>
      <c r="M6" s="28"/>
    </row>
    <row r="7" spans="2:13" x14ac:dyDescent="0.3">
      <c r="B7" s="14">
        <v>45383</v>
      </c>
      <c r="C7" s="16">
        <v>233622</v>
      </c>
      <c r="D7" s="16">
        <v>292201</v>
      </c>
      <c r="E7" s="18"/>
      <c r="F7" s="16">
        <v>66990</v>
      </c>
      <c r="G7" s="16"/>
      <c r="H7" s="16">
        <v>269850</v>
      </c>
      <c r="I7" s="18"/>
      <c r="J7" s="18">
        <v>71399.999999999985</v>
      </c>
      <c r="K7" s="18"/>
      <c r="L7" s="18"/>
      <c r="M7" s="28"/>
    </row>
    <row r="8" spans="2:13" x14ac:dyDescent="0.3">
      <c r="B8" s="14">
        <v>45413</v>
      </c>
      <c r="C8" s="4">
        <v>247266</v>
      </c>
      <c r="D8" s="4">
        <v>353450</v>
      </c>
      <c r="E8" s="18"/>
      <c r="F8" s="4">
        <v>73400.000000000029</v>
      </c>
      <c r="G8" s="4"/>
      <c r="H8" s="4">
        <v>412230</v>
      </c>
      <c r="I8" s="18"/>
      <c r="J8" s="18"/>
      <c r="K8" s="22">
        <v>85260</v>
      </c>
      <c r="L8" s="18"/>
      <c r="M8" s="28"/>
    </row>
    <row r="9" spans="2:13" x14ac:dyDescent="0.3">
      <c r="B9" s="14">
        <v>45444</v>
      </c>
      <c r="C9" s="20">
        <v>351610</v>
      </c>
      <c r="D9" s="20">
        <v>334817</v>
      </c>
      <c r="E9" s="18"/>
      <c r="F9" s="18"/>
      <c r="G9" s="18"/>
      <c r="H9" s="20">
        <v>421280</v>
      </c>
      <c r="I9" s="18"/>
      <c r="J9" s="18"/>
      <c r="K9" s="21">
        <v>53830</v>
      </c>
      <c r="L9" s="18"/>
      <c r="M9" s="28"/>
    </row>
    <row r="10" spans="2:13" x14ac:dyDescent="0.3">
      <c r="B10" s="14">
        <v>45474</v>
      </c>
      <c r="C10" s="20">
        <v>279575</v>
      </c>
      <c r="D10" s="20">
        <v>295175</v>
      </c>
      <c r="E10" s="18"/>
      <c r="F10" s="18"/>
      <c r="G10" s="18"/>
      <c r="H10" s="20">
        <v>292669</v>
      </c>
      <c r="I10" s="18"/>
      <c r="J10" s="21">
        <v>70849.999999999985</v>
      </c>
      <c r="K10" s="18"/>
      <c r="L10" s="18"/>
      <c r="M10" s="28"/>
    </row>
    <row r="11" spans="2:13" x14ac:dyDescent="0.3">
      <c r="B11" s="14">
        <v>45505</v>
      </c>
      <c r="C11" s="20">
        <v>305900</v>
      </c>
      <c r="D11" s="20">
        <v>461465</v>
      </c>
      <c r="E11" s="18"/>
      <c r="F11" s="18"/>
      <c r="G11" s="18"/>
      <c r="H11" s="20">
        <v>354376</v>
      </c>
      <c r="I11" s="18"/>
      <c r="J11" s="18"/>
      <c r="K11" s="18"/>
      <c r="L11" s="18"/>
      <c r="M11" s="28"/>
    </row>
    <row r="12" spans="2:13" x14ac:dyDescent="0.3">
      <c r="B12" s="14">
        <v>45536</v>
      </c>
      <c r="C12" s="20">
        <v>254236</v>
      </c>
      <c r="D12" s="20">
        <v>259470</v>
      </c>
      <c r="E12" s="18"/>
      <c r="F12" s="18"/>
      <c r="G12" s="18"/>
      <c r="H12" s="20">
        <v>417834</v>
      </c>
      <c r="I12" s="18"/>
      <c r="J12" s="18"/>
      <c r="K12" s="21">
        <v>19120</v>
      </c>
      <c r="L12" s="18"/>
      <c r="M12" s="28"/>
    </row>
    <row r="13" spans="2:13" x14ac:dyDescent="0.3">
      <c r="B13" s="14">
        <v>45566</v>
      </c>
      <c r="C13" s="20">
        <v>379447</v>
      </c>
      <c r="D13" s="20">
        <v>376460</v>
      </c>
      <c r="E13" s="18"/>
      <c r="F13" s="18"/>
      <c r="G13" s="18"/>
      <c r="H13" s="20">
        <v>482592</v>
      </c>
      <c r="I13" s="18"/>
      <c r="J13" s="18"/>
      <c r="K13" s="18"/>
      <c r="L13" s="18"/>
      <c r="M13" s="28"/>
    </row>
    <row r="14" spans="2:13" x14ac:dyDescent="0.3">
      <c r="B14" s="14">
        <v>45597</v>
      </c>
      <c r="C14" s="20">
        <v>331362</v>
      </c>
      <c r="D14" s="20">
        <v>349798</v>
      </c>
      <c r="E14" s="18"/>
      <c r="F14" s="18"/>
      <c r="G14" s="18"/>
      <c r="H14" s="20">
        <v>275671</v>
      </c>
      <c r="I14" s="18"/>
      <c r="J14" s="21">
        <v>61334</v>
      </c>
      <c r="K14" s="21">
        <v>54400</v>
      </c>
      <c r="L14" s="18"/>
      <c r="M14" s="28"/>
    </row>
    <row r="15" spans="2:13" x14ac:dyDescent="0.3">
      <c r="B15" s="14">
        <v>45627</v>
      </c>
      <c r="C15" s="20">
        <v>364621.5</v>
      </c>
      <c r="D15" s="20">
        <v>314820.5</v>
      </c>
      <c r="E15" s="18"/>
      <c r="F15" s="18"/>
      <c r="G15" s="18"/>
      <c r="H15" s="20">
        <v>427533</v>
      </c>
      <c r="I15" s="18"/>
      <c r="J15" s="21">
        <v>45060</v>
      </c>
      <c r="K15" s="21">
        <v>144255</v>
      </c>
      <c r="L15" s="21">
        <v>197580</v>
      </c>
      <c r="M15" s="28"/>
    </row>
    <row r="16" spans="2:13" x14ac:dyDescent="0.3">
      <c r="B16" s="30" t="s">
        <v>20</v>
      </c>
      <c r="C16" s="31">
        <f>SUM(C4:C15)</f>
        <v>3133740.5</v>
      </c>
      <c r="D16" s="31">
        <f t="shared" ref="D16:M16" si="0">SUM(D4:D15)</f>
        <v>3959647.5</v>
      </c>
      <c r="E16" s="31">
        <f t="shared" si="0"/>
        <v>0</v>
      </c>
      <c r="F16" s="31">
        <f t="shared" si="0"/>
        <v>279814</v>
      </c>
      <c r="G16" s="31">
        <f t="shared" si="0"/>
        <v>0</v>
      </c>
      <c r="H16" s="31">
        <f t="shared" si="0"/>
        <v>3998991</v>
      </c>
      <c r="I16" s="31">
        <f t="shared" si="0"/>
        <v>0</v>
      </c>
      <c r="J16" s="31">
        <f t="shared" si="0"/>
        <v>248643.99999999997</v>
      </c>
      <c r="K16" s="31">
        <f t="shared" si="0"/>
        <v>518265</v>
      </c>
      <c r="L16" s="31">
        <f t="shared" si="0"/>
        <v>590935</v>
      </c>
      <c r="M16" s="31">
        <f t="shared" si="0"/>
        <v>0</v>
      </c>
    </row>
    <row r="20" spans="5:14" x14ac:dyDescent="0.3">
      <c r="E20" s="23"/>
    </row>
    <row r="25" spans="5:14" x14ac:dyDescent="0.3">
      <c r="N25" s="1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M16"/>
  <sheetViews>
    <sheetView zoomScale="95" workbookViewId="0">
      <selection activeCell="S19" sqref="S19"/>
    </sheetView>
  </sheetViews>
  <sheetFormatPr defaultRowHeight="14.4" x14ac:dyDescent="0.3"/>
  <cols>
    <col min="2" max="2" width="12.44140625" customWidth="1"/>
    <col min="3" max="4" width="10.5546875" bestFit="1" customWidth="1"/>
    <col min="5" max="6" width="10" customWidth="1"/>
    <col min="7" max="7" width="11.5546875" bestFit="1" customWidth="1"/>
    <col min="8" max="8" width="10.5546875" bestFit="1" customWidth="1"/>
    <col min="10" max="10" width="11.21875" bestFit="1" customWidth="1"/>
    <col min="11" max="11" width="9.6640625" bestFit="1" customWidth="1"/>
    <col min="12" max="12" width="12.33203125" bestFit="1" customWidth="1"/>
    <col min="13" max="13" width="13" customWidth="1"/>
  </cols>
  <sheetData>
    <row r="2" spans="2:13" x14ac:dyDescent="0.3">
      <c r="B2" s="2"/>
    </row>
    <row r="3" spans="2:13" ht="13.2" customHeight="1" x14ac:dyDescent="0.3">
      <c r="B3" s="11" t="s">
        <v>16</v>
      </c>
      <c r="C3" s="1" t="s">
        <v>2</v>
      </c>
      <c r="D3" s="1" t="s">
        <v>4</v>
      </c>
      <c r="E3" s="1" t="s">
        <v>5</v>
      </c>
      <c r="F3" s="1" t="s">
        <v>6</v>
      </c>
      <c r="G3" s="5" t="s">
        <v>7</v>
      </c>
      <c r="H3" s="9" t="s">
        <v>17</v>
      </c>
      <c r="I3" s="27" t="s">
        <v>9</v>
      </c>
      <c r="J3" s="3" t="s">
        <v>11</v>
      </c>
      <c r="K3" s="27" t="s">
        <v>18</v>
      </c>
      <c r="L3" s="27" t="s">
        <v>14</v>
      </c>
      <c r="M3" s="3" t="s">
        <v>19</v>
      </c>
    </row>
    <row r="4" spans="2:13" x14ac:dyDescent="0.3">
      <c r="B4" s="14">
        <v>45658</v>
      </c>
      <c r="C4" s="24">
        <v>34890</v>
      </c>
      <c r="D4" s="24">
        <v>337322</v>
      </c>
      <c r="E4" s="24"/>
      <c r="F4" s="24"/>
      <c r="G4" s="24">
        <v>85000</v>
      </c>
      <c r="H4" s="24">
        <v>323240</v>
      </c>
      <c r="I4" s="18"/>
      <c r="J4" s="25">
        <v>118100</v>
      </c>
      <c r="K4" s="25">
        <v>112860</v>
      </c>
      <c r="L4" s="18"/>
      <c r="M4" s="28"/>
    </row>
    <row r="5" spans="2:13" x14ac:dyDescent="0.3">
      <c r="B5" s="14">
        <v>45689</v>
      </c>
      <c r="C5" s="24">
        <v>405150</v>
      </c>
      <c r="D5" s="24">
        <v>323730</v>
      </c>
      <c r="E5" s="24"/>
      <c r="F5" s="24"/>
      <c r="G5" s="18"/>
      <c r="H5" s="24">
        <v>277097</v>
      </c>
      <c r="I5" s="18"/>
      <c r="J5" s="25">
        <v>125030</v>
      </c>
      <c r="K5" s="25">
        <v>107950</v>
      </c>
      <c r="L5" s="18"/>
      <c r="M5" s="28"/>
    </row>
    <row r="6" spans="2:13" x14ac:dyDescent="0.3">
      <c r="B6" s="14">
        <v>45717</v>
      </c>
      <c r="C6" s="24">
        <v>428659</v>
      </c>
      <c r="D6" s="24">
        <v>221549</v>
      </c>
      <c r="E6" s="24"/>
      <c r="F6" s="24"/>
      <c r="G6" s="18"/>
      <c r="H6" s="24">
        <v>236140</v>
      </c>
      <c r="I6" s="18"/>
      <c r="J6" s="25">
        <v>76160</v>
      </c>
      <c r="K6" s="25">
        <v>107156</v>
      </c>
      <c r="L6" s="18"/>
      <c r="M6" s="28"/>
    </row>
    <row r="7" spans="2:13" x14ac:dyDescent="0.3">
      <c r="B7" s="14">
        <v>45748</v>
      </c>
      <c r="C7" s="24">
        <v>103950</v>
      </c>
      <c r="D7" s="24">
        <v>288538.86</v>
      </c>
      <c r="E7" s="24"/>
      <c r="F7" s="24"/>
      <c r="G7" s="24">
        <v>72900</v>
      </c>
      <c r="H7" s="24">
        <v>317815.14</v>
      </c>
      <c r="I7" s="18"/>
      <c r="J7" s="18"/>
      <c r="K7" s="25">
        <v>59800</v>
      </c>
      <c r="L7" s="18"/>
      <c r="M7" s="28"/>
    </row>
    <row r="8" spans="2:13" x14ac:dyDescent="0.3">
      <c r="B8" s="14">
        <v>45778</v>
      </c>
      <c r="C8" s="24">
        <v>352975</v>
      </c>
      <c r="D8" s="24">
        <v>406396</v>
      </c>
      <c r="E8" s="24"/>
      <c r="F8" s="24"/>
      <c r="G8" s="18"/>
      <c r="H8" s="24">
        <v>285170</v>
      </c>
      <c r="I8" s="18"/>
      <c r="J8" s="18"/>
      <c r="K8" s="25">
        <v>106800</v>
      </c>
      <c r="L8" s="18"/>
      <c r="M8" s="28"/>
    </row>
    <row r="9" spans="2:13" x14ac:dyDescent="0.3">
      <c r="B9" s="14">
        <v>45809</v>
      </c>
      <c r="C9" s="24">
        <v>340560</v>
      </c>
      <c r="D9" s="24">
        <v>354286</v>
      </c>
      <c r="E9" s="24"/>
      <c r="F9" s="24"/>
      <c r="G9" s="18"/>
      <c r="H9" s="24">
        <v>306375</v>
      </c>
      <c r="I9" s="18"/>
      <c r="J9" s="18"/>
      <c r="K9" s="25">
        <v>47000</v>
      </c>
      <c r="L9" s="18"/>
      <c r="M9" s="28"/>
    </row>
    <row r="10" spans="2:13" x14ac:dyDescent="0.3">
      <c r="B10" s="14">
        <v>45839</v>
      </c>
      <c r="C10" s="24">
        <v>134960</v>
      </c>
      <c r="D10" s="24">
        <v>215646</v>
      </c>
      <c r="E10" s="24"/>
      <c r="F10" s="24"/>
      <c r="G10" s="18"/>
      <c r="H10" s="24">
        <v>161850</v>
      </c>
      <c r="I10" s="18"/>
      <c r="J10" s="18"/>
      <c r="K10" s="25">
        <v>48500</v>
      </c>
      <c r="L10" s="18"/>
      <c r="M10" s="28"/>
    </row>
    <row r="11" spans="2:13" x14ac:dyDescent="0.3">
      <c r="B11" s="14">
        <v>45870</v>
      </c>
      <c r="C11" s="18">
        <v>262665</v>
      </c>
      <c r="D11" s="18">
        <v>333691</v>
      </c>
      <c r="E11" s="18"/>
      <c r="F11" s="18"/>
      <c r="G11" s="18">
        <v>64145</v>
      </c>
      <c r="H11" s="18">
        <v>326451</v>
      </c>
      <c r="I11" s="18"/>
      <c r="J11" s="18"/>
      <c r="K11" s="18">
        <v>75675</v>
      </c>
      <c r="L11" s="18"/>
      <c r="M11" s="28"/>
    </row>
    <row r="12" spans="2:13" x14ac:dyDescent="0.3">
      <c r="B12" s="14">
        <v>45901</v>
      </c>
      <c r="C12" s="18">
        <v>304752</v>
      </c>
      <c r="D12" s="18">
        <v>219505</v>
      </c>
      <c r="E12" s="18"/>
      <c r="F12" s="18"/>
      <c r="G12" s="18">
        <v>35325</v>
      </c>
      <c r="H12" s="18">
        <v>387700</v>
      </c>
      <c r="I12" s="18"/>
      <c r="J12" s="18"/>
      <c r="K12" s="18">
        <v>68884</v>
      </c>
      <c r="L12" s="18"/>
      <c r="M12" s="28">
        <v>63065</v>
      </c>
    </row>
    <row r="13" spans="2:13" x14ac:dyDescent="0.3">
      <c r="B13" s="14">
        <v>45931</v>
      </c>
      <c r="C13" s="18">
        <v>312530</v>
      </c>
      <c r="D13" s="18">
        <v>169970</v>
      </c>
      <c r="E13" s="18"/>
      <c r="F13" s="18"/>
      <c r="G13" s="18">
        <v>31625</v>
      </c>
      <c r="H13" s="18">
        <v>386920</v>
      </c>
      <c r="I13" s="18"/>
      <c r="J13" s="18"/>
      <c r="K13" s="18">
        <v>56000.004000000001</v>
      </c>
      <c r="L13" s="18"/>
      <c r="M13" s="28"/>
    </row>
    <row r="14" spans="2:13" x14ac:dyDescent="0.3">
      <c r="B14" s="14">
        <v>45962</v>
      </c>
      <c r="C14" s="18">
        <v>32000</v>
      </c>
      <c r="D14" s="18">
        <v>32000</v>
      </c>
      <c r="E14" s="18"/>
      <c r="F14" s="18"/>
      <c r="G14" s="18"/>
      <c r="H14" s="18"/>
      <c r="I14" s="18"/>
      <c r="J14" s="18"/>
      <c r="K14" s="18"/>
      <c r="L14" s="18"/>
      <c r="M14" s="28"/>
    </row>
    <row r="15" spans="2:13" x14ac:dyDescent="0.3">
      <c r="B15" s="14">
        <v>45992</v>
      </c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28"/>
    </row>
    <row r="16" spans="2:13" x14ac:dyDescent="0.3">
      <c r="B16" s="30" t="s">
        <v>20</v>
      </c>
      <c r="C16" s="31">
        <f>SUM(C4:C15)</f>
        <v>2713091</v>
      </c>
      <c r="D16" s="31">
        <f t="shared" ref="D16:M16" si="0">SUM(D4:D15)</f>
        <v>2902633.86</v>
      </c>
      <c r="E16" s="31">
        <f t="shared" si="0"/>
        <v>0</v>
      </c>
      <c r="F16" s="31">
        <f t="shared" si="0"/>
        <v>0</v>
      </c>
      <c r="G16" s="31">
        <f t="shared" si="0"/>
        <v>288995</v>
      </c>
      <c r="H16" s="31">
        <f t="shared" si="0"/>
        <v>3008758.14</v>
      </c>
      <c r="I16" s="31">
        <f t="shared" si="0"/>
        <v>0</v>
      </c>
      <c r="J16" s="31">
        <f t="shared" si="0"/>
        <v>319290</v>
      </c>
      <c r="K16" s="31">
        <f t="shared" si="0"/>
        <v>790625.00399999996</v>
      </c>
      <c r="L16" s="31">
        <f t="shared" si="0"/>
        <v>0</v>
      </c>
      <c r="M16" s="31">
        <f t="shared" si="0"/>
        <v>63065</v>
      </c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D56A8-7428-4C2B-A9B9-94D659E4AB1C}">
  <dimension ref="A1:L16"/>
  <sheetViews>
    <sheetView workbookViewId="0">
      <selection activeCell="C19" sqref="C19"/>
    </sheetView>
  </sheetViews>
  <sheetFormatPr defaultRowHeight="14.4" x14ac:dyDescent="0.3"/>
  <cols>
    <col min="2" max="2" width="11.109375" bestFit="1" customWidth="1"/>
  </cols>
  <sheetData>
    <row r="1" spans="1:12" x14ac:dyDescent="0.3">
      <c r="A1" s="29"/>
    </row>
    <row r="3" spans="1:12" ht="27.6" x14ac:dyDescent="0.3">
      <c r="B3" s="6" t="s">
        <v>16</v>
      </c>
      <c r="C3" s="27" t="s">
        <v>2</v>
      </c>
      <c r="D3" s="27" t="s">
        <v>4</v>
      </c>
      <c r="E3" s="27" t="s">
        <v>5</v>
      </c>
      <c r="F3" s="7" t="s">
        <v>6</v>
      </c>
      <c r="G3" s="7" t="s">
        <v>7</v>
      </c>
      <c r="H3" s="13" t="s">
        <v>17</v>
      </c>
      <c r="I3" s="27" t="s">
        <v>9</v>
      </c>
      <c r="J3" s="27" t="s">
        <v>11</v>
      </c>
      <c r="K3" s="27" t="s">
        <v>18</v>
      </c>
      <c r="L3" s="27" t="s">
        <v>14</v>
      </c>
    </row>
    <row r="4" spans="1:12" x14ac:dyDescent="0.3">
      <c r="B4" s="15">
        <v>46023</v>
      </c>
      <c r="C4" s="16"/>
      <c r="D4" s="17"/>
      <c r="E4" s="16"/>
      <c r="F4" s="16"/>
      <c r="G4" s="16"/>
      <c r="H4" s="16"/>
      <c r="I4" s="18"/>
      <c r="J4" s="18"/>
      <c r="K4" s="18"/>
      <c r="L4" s="18"/>
    </row>
    <row r="5" spans="1:12" x14ac:dyDescent="0.3">
      <c r="B5" s="15">
        <v>46054</v>
      </c>
      <c r="C5" s="16"/>
      <c r="D5" s="16"/>
      <c r="E5" s="16"/>
      <c r="F5" s="16"/>
      <c r="G5" s="16"/>
      <c r="H5" s="16"/>
      <c r="I5" s="18"/>
      <c r="J5" s="18"/>
      <c r="K5" s="18"/>
      <c r="L5" s="18"/>
    </row>
    <row r="6" spans="1:12" x14ac:dyDescent="0.3">
      <c r="B6" s="15">
        <v>46082</v>
      </c>
      <c r="C6" s="16"/>
      <c r="D6" s="16"/>
      <c r="E6" s="16"/>
      <c r="F6" s="16"/>
      <c r="G6" s="16"/>
      <c r="H6" s="16"/>
      <c r="I6" s="18"/>
      <c r="J6" s="18"/>
      <c r="K6" s="18"/>
      <c r="L6" s="18"/>
    </row>
    <row r="7" spans="1:12" x14ac:dyDescent="0.3">
      <c r="B7" s="15">
        <v>46113</v>
      </c>
      <c r="C7" s="18"/>
      <c r="D7" s="16"/>
      <c r="E7" s="16"/>
      <c r="F7" s="16"/>
      <c r="G7" s="16"/>
      <c r="H7" s="16"/>
      <c r="I7" s="18"/>
      <c r="J7" s="18"/>
      <c r="K7" s="18"/>
      <c r="L7" s="18"/>
    </row>
    <row r="8" spans="1:12" x14ac:dyDescent="0.3">
      <c r="B8" s="15">
        <v>46143</v>
      </c>
      <c r="C8" s="16"/>
      <c r="D8" s="16"/>
      <c r="E8" s="16"/>
      <c r="F8" s="16"/>
      <c r="G8" s="16"/>
      <c r="H8" s="16"/>
      <c r="I8" s="18"/>
      <c r="J8" s="18"/>
      <c r="K8" s="18"/>
      <c r="L8" s="18"/>
    </row>
    <row r="9" spans="1:12" x14ac:dyDescent="0.3">
      <c r="B9" s="15">
        <v>46174</v>
      </c>
      <c r="C9" s="20"/>
      <c r="D9" s="20"/>
      <c r="E9" s="20"/>
      <c r="F9" s="20"/>
      <c r="G9" s="20"/>
      <c r="H9" s="20"/>
      <c r="I9" s="18"/>
      <c r="J9" s="18"/>
      <c r="K9" s="18"/>
      <c r="L9" s="18"/>
    </row>
    <row r="10" spans="1:12" x14ac:dyDescent="0.3">
      <c r="B10" s="15">
        <v>46204</v>
      </c>
      <c r="C10" s="20"/>
      <c r="D10" s="20"/>
      <c r="E10" s="20"/>
      <c r="F10" s="20"/>
      <c r="G10" s="20"/>
      <c r="H10" s="20"/>
      <c r="I10" s="18"/>
      <c r="J10" s="18"/>
      <c r="K10" s="21"/>
      <c r="L10" s="21"/>
    </row>
    <row r="11" spans="1:12" x14ac:dyDescent="0.3">
      <c r="B11" s="15">
        <v>46235</v>
      </c>
      <c r="C11" s="20"/>
      <c r="D11" s="18"/>
      <c r="E11" s="20"/>
      <c r="F11" s="20"/>
      <c r="G11" s="20"/>
      <c r="H11" s="20"/>
      <c r="I11" s="18"/>
      <c r="J11" s="18"/>
      <c r="K11" s="21"/>
      <c r="L11" s="18"/>
    </row>
    <row r="12" spans="1:12" x14ac:dyDescent="0.3">
      <c r="B12" s="15">
        <v>46266</v>
      </c>
      <c r="C12" s="20"/>
      <c r="D12" s="20"/>
      <c r="E12" s="18"/>
      <c r="F12" s="18"/>
      <c r="G12" s="18"/>
      <c r="H12" s="20"/>
      <c r="I12" s="18"/>
      <c r="J12" s="18"/>
      <c r="K12" s="21"/>
      <c r="L12" s="21"/>
    </row>
    <row r="13" spans="1:12" x14ac:dyDescent="0.3">
      <c r="B13" s="15">
        <v>46296</v>
      </c>
      <c r="C13" s="20"/>
      <c r="D13" s="20"/>
      <c r="E13" s="18"/>
      <c r="F13" s="18"/>
      <c r="G13" s="18"/>
      <c r="H13" s="20"/>
      <c r="I13" s="18"/>
      <c r="J13" s="18"/>
      <c r="K13" s="21"/>
      <c r="L13" s="21"/>
    </row>
    <row r="14" spans="1:12" x14ac:dyDescent="0.3">
      <c r="B14" s="15">
        <v>46327</v>
      </c>
      <c r="C14" s="20"/>
      <c r="D14" s="18"/>
      <c r="E14" s="18"/>
      <c r="F14" s="18"/>
      <c r="G14" s="18"/>
      <c r="H14" s="20"/>
      <c r="I14" s="18"/>
      <c r="J14" s="18"/>
      <c r="K14" s="21"/>
      <c r="L14" s="18"/>
    </row>
    <row r="15" spans="1:12" x14ac:dyDescent="0.3">
      <c r="B15" s="14">
        <v>46357</v>
      </c>
      <c r="C15" s="20"/>
      <c r="D15" s="20"/>
      <c r="E15" s="18"/>
      <c r="F15" s="18"/>
      <c r="G15" s="18"/>
      <c r="H15" s="20"/>
      <c r="I15" s="18"/>
      <c r="J15" s="18"/>
      <c r="K15" s="21"/>
      <c r="L15" s="18"/>
    </row>
    <row r="16" spans="1:12" x14ac:dyDescent="0.3">
      <c r="B16" s="14">
        <v>46357</v>
      </c>
      <c r="C16" s="20"/>
      <c r="D16" s="20"/>
      <c r="E16" s="18"/>
      <c r="F16" s="18"/>
      <c r="G16" s="18"/>
      <c r="H16" s="20"/>
      <c r="I16" s="18"/>
      <c r="J16" s="18"/>
      <c r="K16" s="21"/>
      <c r="L16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Mapping</vt:lpstr>
      <vt:lpstr>2023</vt:lpstr>
      <vt:lpstr>2024</vt:lpstr>
      <vt:lpstr>2025</vt:lpstr>
      <vt:lpstr>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resma yunita</dc:creator>
  <cp:lastModifiedBy>hp</cp:lastModifiedBy>
  <dcterms:created xsi:type="dcterms:W3CDTF">2025-08-19T01:44:53Z</dcterms:created>
  <dcterms:modified xsi:type="dcterms:W3CDTF">2026-01-13T10:36:51Z</dcterms:modified>
</cp:coreProperties>
</file>
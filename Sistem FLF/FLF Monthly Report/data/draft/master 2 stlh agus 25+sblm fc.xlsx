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Mapping" sheetId="1" state="visible" r:id="rId1"/>
    <sheet name="2023" sheetId="2" state="visible" r:id="rId2"/>
    <sheet name="2024" sheetId="3" state="visible" r:id="rId3"/>
    <sheet name="2025" sheetId="4" state="visible" r:id="rId4"/>
    <sheet name="Sheet4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(* #,##0_);_(* \(#,##0\);_(* &quot;-&quot;??_);_(@_)"/>
    <numFmt numFmtId="166" formatCode="#,##0.0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0"/>
    </font>
    <font>
      <name val="Calibri"/>
      <family val="2"/>
      <b val="1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sz val="10"/>
      <scheme val="minor"/>
    </font>
    <font>
      <name val="Calibri"/>
      <family val="2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1" fillId="0" borderId="0"/>
    <xf numFmtId="43" fontId="1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83">
    <xf numFmtId="0" fontId="0" fillId="0" borderId="0" pivotButton="0" quotePrefix="0" xfId="0"/>
    <xf numFmtId="164" fontId="8" fillId="0" borderId="4" applyAlignment="1" pivotButton="0" quotePrefix="0" xfId="3">
      <alignment horizontal="center" vertical="center"/>
    </xf>
    <xf numFmtId="0" fontId="5" fillId="3" borderId="1" applyAlignment="1" pivotButton="0" quotePrefix="0" xfId="2">
      <alignment horizontal="center" vertical="center" wrapText="1"/>
    </xf>
    <xf numFmtId="0" fontId="5" fillId="3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3" borderId="5" applyAlignment="1" pivotButton="0" quotePrefix="0" xfId="2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3" borderId="1" applyAlignment="1" pivotButton="0" quotePrefix="0" xfId="2">
      <alignment horizontal="center" vertical="center"/>
    </xf>
    <xf numFmtId="165" fontId="6" fillId="0" borderId="1" applyAlignment="1" pivotButton="0" quotePrefix="0" xfId="1">
      <alignment vertical="center"/>
    </xf>
    <xf numFmtId="165" fontId="6" fillId="0" borderId="1" applyAlignment="1" pivotButton="0" quotePrefix="0" xfId="1">
      <alignment vertical="center"/>
    </xf>
    <xf numFmtId="165" fontId="4" fillId="0" borderId="1" applyAlignment="1" pivotButton="0" quotePrefix="0" xfId="1">
      <alignment horizontal="center" vertical="center"/>
    </xf>
    <xf numFmtId="165" fontId="4" fillId="0" borderId="5" applyAlignment="1" pivotButton="0" quotePrefix="0" xfId="1">
      <alignment horizontal="center" vertical="center"/>
    </xf>
    <xf numFmtId="165" fontId="0" fillId="0" borderId="1" pivotButton="0" quotePrefix="0" xfId="1"/>
    <xf numFmtId="165" fontId="2" fillId="4" borderId="1" pivotButton="0" quotePrefix="0" xfId="1"/>
    <xf numFmtId="165" fontId="8" fillId="0" borderId="1" applyAlignment="1" pivotButton="0" quotePrefix="0" xfId="1">
      <alignment vertical="center"/>
    </xf>
    <xf numFmtId="165" fontId="8" fillId="0" borderId="1" applyAlignment="1" pivotButton="0" quotePrefix="0" xfId="1">
      <alignment vertical="center"/>
    </xf>
    <xf numFmtId="165" fontId="4" fillId="0" borderId="1" applyAlignment="1" pivotButton="0" quotePrefix="0" xfId="1">
      <alignment horizontal="right"/>
    </xf>
    <xf numFmtId="165" fontId="4" fillId="0" borderId="1" applyAlignment="1" pivotButton="0" quotePrefix="0" xfId="1">
      <alignment horizontal="right" vertical="center"/>
    </xf>
    <xf numFmtId="165" fontId="8" fillId="0" borderId="1" applyAlignment="1" pivotButton="0" quotePrefix="0" xfId="1">
      <alignment horizontal="right" vertical="center"/>
    </xf>
    <xf numFmtId="165" fontId="8" fillId="0" borderId="1" applyAlignment="1" pivotButton="0" quotePrefix="0" xfId="1">
      <alignment horizontal="right" vertical="center"/>
    </xf>
    <xf numFmtId="166" fontId="4" fillId="0" borderId="1" applyAlignment="1" pivotButton="0" quotePrefix="0" xfId="3">
      <alignment horizontal="right" vertical="center"/>
    </xf>
    <xf numFmtId="165" fontId="0" fillId="0" borderId="0" pivotButton="0" quotePrefix="0" xfId="1"/>
    <xf numFmtId="165" fontId="4" fillId="0" borderId="2" applyAlignment="1" pivotButton="0" quotePrefix="0" xfId="1">
      <alignment horizontal="center" vertical="center"/>
    </xf>
    <xf numFmtId="165" fontId="4" fillId="0" borderId="4" applyAlignment="1" pivotButton="0" quotePrefix="0" xfId="1">
      <alignment horizontal="center" vertical="center"/>
    </xf>
    <xf numFmtId="165" fontId="0" fillId="0" borderId="0" pivotButton="0" quotePrefix="0" xfId="0"/>
    <xf numFmtId="0" fontId="8" fillId="0" borderId="1" applyAlignment="1" pivotButton="0" quotePrefix="0" xfId="3">
      <alignment horizontal="right" vertical="center"/>
    </xf>
    <xf numFmtId="3" fontId="9" fillId="2" borderId="0" pivotButton="0" quotePrefix="0" xfId="5"/>
    <xf numFmtId="165" fontId="6" fillId="0" borderId="0" applyAlignment="1" pivotButton="0" quotePrefix="0" xfId="1">
      <alignment vertical="center"/>
    </xf>
    <xf numFmtId="0" fontId="5" fillId="3" borderId="3" applyAlignment="1" pivotButton="0" quotePrefix="0" xfId="2">
      <alignment horizontal="center" vertical="center" wrapText="1"/>
    </xf>
    <xf numFmtId="0" fontId="5" fillId="3" borderId="1" applyAlignment="1" pivotButton="0" quotePrefix="0" xfId="2">
      <alignment horizontal="center" vertical="top"/>
    </xf>
    <xf numFmtId="165" fontId="10" fillId="0" borderId="1" applyAlignment="1" pivotButton="0" quotePrefix="0" xfId="1">
      <alignment vertical="center"/>
    </xf>
    <xf numFmtId="165" fontId="10" fillId="0" borderId="1" applyAlignment="1" pivotButton="0" quotePrefix="0" xfId="1">
      <alignment vertical="center"/>
    </xf>
    <xf numFmtId="165" fontId="11" fillId="0" borderId="1" applyAlignment="1" pivotButton="0" quotePrefix="0" xfId="1">
      <alignment horizontal="center" vertical="center"/>
    </xf>
    <xf numFmtId="0" fontId="5" fillId="3" borderId="2" applyAlignment="1" pivotButton="0" quotePrefix="0" xfId="2">
      <alignment horizontal="center" vertical="center"/>
    </xf>
    <xf numFmtId="164" fontId="8" fillId="0" borderId="1" applyAlignment="1" pivotButton="0" quotePrefix="0" xfId="3">
      <alignment horizontal="center" vertical="center"/>
    </xf>
    <xf numFmtId="0" fontId="5" fillId="3" borderId="2" applyAlignment="1" pivotButton="0" quotePrefix="0" xfId="2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5" fillId="3" borderId="1" applyAlignment="1" pivotButton="0" quotePrefix="0" xfId="2">
      <alignment vertical="center" wrapText="1"/>
    </xf>
    <xf numFmtId="0" fontId="5" fillId="3" borderId="2" applyAlignment="1" pivotButton="0" quotePrefix="0" xfId="2">
      <alignment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5" fillId="4" borderId="5" applyAlignment="1" pivotButton="0" quotePrefix="0" xfId="3">
      <alignment horizontal="center" vertical="center"/>
    </xf>
    <xf numFmtId="0" fontId="5" fillId="4" borderId="7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0" fontId="5" fillId="3" borderId="1" applyAlignment="1" pivotButton="0" quotePrefix="0" xfId="2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/>
    </xf>
    <xf numFmtId="0" fontId="7" fillId="3" borderId="7" applyAlignment="1" pivotButton="0" quotePrefix="0" xfId="0">
      <alignment horizontal="center"/>
    </xf>
    <xf numFmtId="0" fontId="7" fillId="3" borderId="6" applyAlignment="1" pivotButton="0" quotePrefix="0" xfId="0">
      <alignment horizontal="center"/>
    </xf>
    <xf numFmtId="164" fontId="8" fillId="0" borderId="1" applyAlignment="1" pivotButton="0" quotePrefix="0" xfId="3">
      <alignment horizontal="center" vertical="center"/>
    </xf>
    <xf numFmtId="164" fontId="8" fillId="0" borderId="4" applyAlignment="1" pivotButton="0" quotePrefix="0" xfId="3">
      <alignment horizontal="center" vertical="center"/>
    </xf>
    <xf numFmtId="165" fontId="8" fillId="0" borderId="1" applyAlignment="1" pivotButton="0" quotePrefix="0" xfId="1">
      <alignment horizontal="right" vertical="center"/>
    </xf>
    <xf numFmtId="165" fontId="4" fillId="0" borderId="1" applyAlignment="1" pivotButton="0" quotePrefix="0" xfId="1">
      <alignment horizontal="right"/>
    </xf>
    <xf numFmtId="165" fontId="4" fillId="0" borderId="1" applyAlignment="1" pivotButton="0" quotePrefix="0" xfId="1">
      <alignment horizontal="right" vertical="center"/>
    </xf>
    <xf numFmtId="165" fontId="0" fillId="0" borderId="0" pivotButton="0" quotePrefix="0" xfId="0"/>
    <xf numFmtId="165" fontId="8" fillId="0" borderId="1" applyAlignment="1" pivotButton="0" quotePrefix="0" xfId="1">
      <alignment vertical="center"/>
    </xf>
    <xf numFmtId="165" fontId="4" fillId="0" borderId="1" applyAlignment="1" pivotButton="0" quotePrefix="0" xfId="1">
      <alignment horizontal="center" vertical="center"/>
    </xf>
    <xf numFmtId="166" fontId="4" fillId="0" borderId="1" applyAlignment="1" pivotButton="0" quotePrefix="0" xfId="3">
      <alignment horizontal="right" vertical="center"/>
    </xf>
    <xf numFmtId="165" fontId="0" fillId="0" borderId="0" pivotButton="0" quotePrefix="0" xfId="1"/>
    <xf numFmtId="165" fontId="10" fillId="0" borderId="1" applyAlignment="1" pivotButton="0" quotePrefix="0" xfId="1">
      <alignment vertical="center"/>
    </xf>
    <xf numFmtId="165" fontId="11" fillId="0" borderId="1" applyAlignment="1" pivotButton="0" quotePrefix="0" xfId="1">
      <alignment horizontal="center" vertical="center"/>
    </xf>
    <xf numFmtId="0" fontId="7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0" fontId="2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165" fontId="6" fillId="0" borderId="1" applyAlignment="1" pivotButton="0" quotePrefix="0" xfId="1">
      <alignment vertical="center"/>
    </xf>
    <xf numFmtId="165" fontId="4" fillId="0" borderId="5" applyAlignment="1" pivotButton="0" quotePrefix="0" xfId="1">
      <alignment horizontal="center" vertical="center"/>
    </xf>
    <xf numFmtId="165" fontId="0" fillId="0" borderId="1" pivotButton="0" quotePrefix="0" xfId="1"/>
    <xf numFmtId="165" fontId="6" fillId="0" borderId="0" applyAlignment="1" pivotButton="0" quotePrefix="0" xfId="1">
      <alignment vertical="center"/>
    </xf>
    <xf numFmtId="165" fontId="4" fillId="0" borderId="2" applyAlignment="1" pivotButton="0" quotePrefix="0" xfId="1">
      <alignment horizontal="center" vertical="center"/>
    </xf>
    <xf numFmtId="165" fontId="4" fillId="0" borderId="4" applyAlignment="1" pivotButton="0" quotePrefix="0" xfId="1">
      <alignment horizontal="center" vertical="center"/>
    </xf>
    <xf numFmtId="0" fontId="5" fillId="4" borderId="1" applyAlignment="1" pivotButton="0" quotePrefix="0" xfId="3">
      <alignment horizontal="center" vertical="center"/>
    </xf>
    <xf numFmtId="165" fontId="2" fillId="4" borderId="1" pivotButton="0" quotePrefix="0" xfId="1"/>
  </cellXfs>
  <cellStyles count="6">
    <cellStyle name="Normal" xfId="0" builtinId="0"/>
    <cellStyle name="Comma" xfId="1" builtinId="3"/>
    <cellStyle name="Normal 2 3" xfId="2"/>
    <cellStyle name="Normal 9" xfId="3"/>
    <cellStyle name="Normal 17" xfId="4"/>
    <cellStyle name="Normal 1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E24" sqref="E24"/>
    </sheetView>
  </sheetViews>
  <sheetFormatPr baseColWidth="8" defaultRowHeight="14.4"/>
  <cols>
    <col width="12.21875" bestFit="1" customWidth="1" min="2" max="3"/>
  </cols>
  <sheetData>
    <row r="2">
      <c r="B2" s="9" t="inlineStr">
        <is>
          <t>FLF</t>
        </is>
      </c>
      <c r="C2" s="9" t="inlineStr">
        <is>
          <t>Group</t>
        </is>
      </c>
    </row>
    <row r="3">
      <c r="B3" s="56" t="inlineStr">
        <is>
          <t>Apollo</t>
        </is>
      </c>
      <c r="C3" s="56" t="inlineStr">
        <is>
          <t>Rocktree</t>
        </is>
      </c>
    </row>
    <row r="4">
      <c r="B4" s="56" t="inlineStr">
        <is>
          <t>Zeus</t>
        </is>
      </c>
      <c r="C4" s="56" t="inlineStr">
        <is>
          <t>Rocktree</t>
        </is>
      </c>
    </row>
    <row r="5">
      <c r="B5" s="56" t="inlineStr">
        <is>
          <t>Mara</t>
        </is>
      </c>
      <c r="C5" s="56" t="inlineStr">
        <is>
          <t>Rocktree</t>
        </is>
      </c>
    </row>
    <row r="6">
      <c r="B6" s="56" t="inlineStr">
        <is>
          <t>August</t>
        </is>
      </c>
      <c r="C6" s="56" t="inlineStr">
        <is>
          <t>Rocktree</t>
        </is>
      </c>
    </row>
    <row r="7">
      <c r="B7" s="56" t="inlineStr">
        <is>
          <t>Eagle</t>
        </is>
      </c>
      <c r="C7" s="56" t="inlineStr">
        <is>
          <t>Rocktree</t>
        </is>
      </c>
    </row>
    <row r="8">
      <c r="B8" s="38" t="inlineStr">
        <is>
          <t>WHS</t>
        </is>
      </c>
      <c r="C8" s="38" t="inlineStr">
        <is>
          <t>WHS</t>
        </is>
      </c>
    </row>
    <row r="9">
      <c r="B9" s="56" t="inlineStr">
        <is>
          <t>Bulk Java</t>
        </is>
      </c>
      <c r="C9" s="56" t="inlineStr">
        <is>
          <t>PSS</t>
        </is>
      </c>
    </row>
    <row r="10">
      <c r="B10" s="56" t="inlineStr">
        <is>
          <t>Ratu Dewata</t>
        </is>
      </c>
      <c r="C10" s="56" t="inlineStr">
        <is>
          <t>PSS</t>
        </is>
      </c>
    </row>
    <row r="11">
      <c r="B11" s="56" t="inlineStr">
        <is>
          <t xml:space="preserve">Labor </t>
        </is>
      </c>
      <c r="C11" s="56" t="inlineStr">
        <is>
          <t>Stevedore</t>
        </is>
      </c>
    </row>
    <row r="12">
      <c r="B12" s="56" t="inlineStr">
        <is>
          <t>Green Calypso</t>
        </is>
      </c>
      <c r="C12" s="56" t="inlineStr">
        <is>
          <t>Meranti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M24"/>
  <sheetViews>
    <sheetView tabSelected="1" zoomScale="70" zoomScaleNormal="70" workbookViewId="0">
      <selection activeCell="D24" sqref="D24"/>
    </sheetView>
  </sheetViews>
  <sheetFormatPr baseColWidth="8" defaultRowHeight="14.4"/>
  <cols>
    <col width="11.109375" bestFit="1" customWidth="1" style="4" min="2" max="2"/>
    <col width="17.77734375" customWidth="1" min="3" max="3"/>
    <col width="8.33203125" customWidth="1" min="5" max="7"/>
    <col width="9.77734375" customWidth="1" min="8" max="8"/>
    <col width="10" bestFit="1" customWidth="1" min="9" max="9"/>
    <col width="11.21875" bestFit="1" customWidth="1" min="10" max="10"/>
    <col width="9.109375" customWidth="1" min="11" max="11"/>
    <col width="12.33203125" bestFit="1" customWidth="1" min="12" max="12"/>
    <col width="17" customWidth="1" min="13" max="13"/>
  </cols>
  <sheetData>
    <row r="1" ht="13.2" customHeight="1"/>
    <row r="2" ht="13.2" customHeight="1"/>
    <row r="3" ht="14.4" customHeight="1">
      <c r="B3" s="35" t="inlineStr">
        <is>
          <t>Month/ Year</t>
        </is>
      </c>
      <c r="C3" s="48" t="inlineStr">
        <is>
          <t>Apollo</t>
        </is>
      </c>
      <c r="D3" s="48" t="inlineStr">
        <is>
          <t>Zeus</t>
        </is>
      </c>
      <c r="E3" s="48" t="inlineStr">
        <is>
          <t>Mara</t>
        </is>
      </c>
      <c r="F3" s="37" t="inlineStr">
        <is>
          <t>August</t>
        </is>
      </c>
      <c r="G3" s="37" t="inlineStr">
        <is>
          <t>Eagle</t>
        </is>
      </c>
      <c r="H3" s="43" t="inlineStr">
        <is>
          <t xml:space="preserve">WHS </t>
        </is>
      </c>
      <c r="I3" s="48" t="inlineStr">
        <is>
          <t>Bulk Java</t>
        </is>
      </c>
      <c r="J3" s="48" t="inlineStr">
        <is>
          <t>Ratu Dewata</t>
        </is>
      </c>
      <c r="K3" s="48" t="inlineStr">
        <is>
          <t>Labor</t>
        </is>
      </c>
      <c r="L3" s="48" t="inlineStr">
        <is>
          <t>Green Calypso</t>
        </is>
      </c>
    </row>
    <row r="4">
      <c r="B4" s="57" t="n">
        <v>44927</v>
      </c>
      <c r="C4" s="58" t="n">
        <v>103509</v>
      </c>
      <c r="D4" s="59" t="n"/>
      <c r="E4" s="58" t="n">
        <v>108500</v>
      </c>
      <c r="F4" s="58" t="n"/>
      <c r="G4" s="58" t="n"/>
      <c r="H4" s="58" t="n">
        <v>128990</v>
      </c>
      <c r="I4" s="60" t="n"/>
      <c r="J4" s="60" t="n"/>
      <c r="K4" s="60" t="n">
        <v>54149</v>
      </c>
      <c r="L4" s="60" t="n"/>
      <c r="M4" s="61" t="n"/>
    </row>
    <row r="5">
      <c r="B5" s="57" t="n">
        <v>44958</v>
      </c>
      <c r="C5" s="58" t="n">
        <v>70250</v>
      </c>
      <c r="D5" s="58" t="n">
        <v>46280</v>
      </c>
      <c r="E5" s="58" t="n">
        <v>115700</v>
      </c>
      <c r="F5" s="58" t="n"/>
      <c r="G5" s="58" t="n"/>
      <c r="H5" s="58" t="n">
        <v>348800</v>
      </c>
      <c r="I5" s="60" t="n"/>
      <c r="J5" s="60" t="n"/>
      <c r="K5" s="60" t="n">
        <v>55000</v>
      </c>
      <c r="L5" s="60" t="n"/>
      <c r="M5" s="61" t="n"/>
    </row>
    <row r="6">
      <c r="B6" s="57" t="n">
        <v>44986</v>
      </c>
      <c r="C6" s="58" t="n">
        <v>275784</v>
      </c>
      <c r="D6" s="58" t="n">
        <v>224130</v>
      </c>
      <c r="E6" s="58" t="n">
        <v>33500</v>
      </c>
      <c r="F6" s="58" t="n"/>
      <c r="G6" s="58" t="n"/>
      <c r="H6" s="58" t="n">
        <v>270547</v>
      </c>
      <c r="I6" s="60" t="n"/>
      <c r="J6" s="60" t="n"/>
      <c r="K6" s="60" t="n">
        <v>54518.334</v>
      </c>
      <c r="L6" s="60" t="n"/>
      <c r="M6" s="61" t="n"/>
    </row>
    <row r="7">
      <c r="B7" s="57" t="n">
        <v>45017</v>
      </c>
      <c r="C7" s="60" t="n"/>
      <c r="D7" s="58" t="n">
        <v>106050</v>
      </c>
      <c r="E7" s="58" t="n">
        <v>130200</v>
      </c>
      <c r="F7" s="58" t="n"/>
      <c r="G7" s="58" t="n"/>
      <c r="H7" s="58" t="n">
        <v>300397.77</v>
      </c>
      <c r="I7" s="60" t="n"/>
      <c r="J7" s="60" t="n"/>
      <c r="K7" s="60" t="n">
        <v>55000</v>
      </c>
      <c r="L7" s="60" t="n">
        <v>53800</v>
      </c>
      <c r="M7" s="61" t="n"/>
    </row>
    <row r="8">
      <c r="B8" s="57" t="n">
        <v>45047</v>
      </c>
      <c r="C8" s="58" t="n"/>
      <c r="D8" s="58" t="n">
        <v>106165</v>
      </c>
      <c r="E8" s="58" t="n">
        <v>283158.336</v>
      </c>
      <c r="F8" s="58" t="n"/>
      <c r="G8" s="58" t="n"/>
      <c r="H8" s="58" t="n">
        <v>206277</v>
      </c>
      <c r="I8" s="60" t="n"/>
      <c r="J8" s="60" t="n"/>
      <c r="K8" s="60" t="n">
        <v>70950</v>
      </c>
      <c r="L8" s="60" t="n">
        <v>68499.606</v>
      </c>
      <c r="M8" s="61" t="n"/>
    </row>
    <row r="9">
      <c r="B9" s="57" t="n">
        <v>45078</v>
      </c>
      <c r="C9" s="62" t="n">
        <v>157900</v>
      </c>
      <c r="D9" s="62" t="n">
        <v>103500</v>
      </c>
      <c r="E9" s="62" t="n">
        <v>286477</v>
      </c>
      <c r="F9" s="62" t="n"/>
      <c r="G9" s="62" t="n"/>
      <c r="H9" s="62" t="n">
        <v>233940</v>
      </c>
      <c r="I9" s="60" t="n"/>
      <c r="J9" s="60" t="n"/>
      <c r="K9" s="60" t="n"/>
      <c r="L9" s="60" t="n"/>
      <c r="M9" s="61" t="n"/>
    </row>
    <row r="10">
      <c r="B10" s="57" t="n">
        <v>45108</v>
      </c>
      <c r="C10" s="62" t="n">
        <v>304800</v>
      </c>
      <c r="D10" s="62" t="n">
        <v>67150</v>
      </c>
      <c r="E10" s="62" t="n">
        <v>105300</v>
      </c>
      <c r="F10" s="62" t="n"/>
      <c r="G10" s="62" t="n"/>
      <c r="H10" s="62" t="n">
        <v>269203</v>
      </c>
      <c r="I10" s="60" t="n"/>
      <c r="J10" s="60" t="n"/>
      <c r="K10" s="63" t="n">
        <v>52350</v>
      </c>
      <c r="L10" s="63" t="n">
        <v>52150.00000000001</v>
      </c>
      <c r="M10" s="61" t="n"/>
    </row>
    <row r="11">
      <c r="B11" s="57" t="n">
        <v>45139</v>
      </c>
      <c r="C11" s="62" t="n">
        <v>261933</v>
      </c>
      <c r="D11" s="60" t="n"/>
      <c r="E11" s="62" t="n">
        <v>121000</v>
      </c>
      <c r="F11" s="62" t="n"/>
      <c r="G11" s="62" t="n"/>
      <c r="H11" s="62" t="n">
        <v>403777</v>
      </c>
      <c r="I11" s="60" t="n"/>
      <c r="J11" s="60" t="n"/>
      <c r="K11" s="63" t="n">
        <v>74280</v>
      </c>
      <c r="L11" s="60" t="n"/>
      <c r="M11" s="61" t="n"/>
    </row>
    <row r="12">
      <c r="B12" s="57" t="n">
        <v>45170</v>
      </c>
      <c r="C12" s="62" t="n">
        <v>169200</v>
      </c>
      <c r="D12" s="62" t="n">
        <v>177700</v>
      </c>
      <c r="E12" s="60" t="n"/>
      <c r="F12" s="60" t="n"/>
      <c r="G12" s="60" t="n"/>
      <c r="H12" s="62" t="n">
        <v>188000</v>
      </c>
      <c r="I12" s="60" t="n"/>
      <c r="J12" s="60" t="n"/>
      <c r="K12" s="63" t="n">
        <v>54070</v>
      </c>
      <c r="L12" s="63" t="n">
        <v>55000</v>
      </c>
      <c r="M12" s="61" t="n"/>
    </row>
    <row r="13">
      <c r="B13" s="57" t="n">
        <v>45200</v>
      </c>
      <c r="C13" s="62" t="n">
        <v>206500</v>
      </c>
      <c r="D13" s="62" t="n">
        <v>142450</v>
      </c>
      <c r="E13" s="60" t="n"/>
      <c r="F13" s="60" t="n"/>
      <c r="G13" s="60" t="n"/>
      <c r="H13" s="62" t="n">
        <v>379066</v>
      </c>
      <c r="I13" s="60" t="n"/>
      <c r="J13" s="60" t="n"/>
      <c r="K13" s="63" t="n">
        <v>52900</v>
      </c>
      <c r="L13" s="63" t="n">
        <v>56600</v>
      </c>
      <c r="M13" s="61" t="n"/>
    </row>
    <row r="14">
      <c r="B14" s="57" t="n">
        <v>45231</v>
      </c>
      <c r="C14" s="62" t="n">
        <v>357290</v>
      </c>
      <c r="D14" s="60" t="n"/>
      <c r="E14" s="60" t="n"/>
      <c r="F14" s="60" t="n"/>
      <c r="G14" s="60" t="n"/>
      <c r="H14" s="62" t="n">
        <v>418773</v>
      </c>
      <c r="I14" s="60" t="n"/>
      <c r="J14" s="60" t="n"/>
      <c r="K14" s="63" t="n">
        <v>52540</v>
      </c>
      <c r="L14" s="60" t="n"/>
      <c r="M14" s="61" t="n"/>
    </row>
    <row r="15">
      <c r="B15" s="56" t="n">
        <v>45261</v>
      </c>
      <c r="C15" s="62" t="n">
        <v>167935</v>
      </c>
      <c r="D15" s="62" t="n">
        <v>330795</v>
      </c>
      <c r="E15" s="60" t="n"/>
      <c r="F15" s="60" t="n"/>
      <c r="G15" s="60" t="n"/>
      <c r="H15" s="62" t="n">
        <v>406070</v>
      </c>
      <c r="I15" s="60" t="n"/>
      <c r="J15" s="60" t="n"/>
      <c r="K15" s="63" t="n">
        <v>15000</v>
      </c>
      <c r="L15" s="60" t="n"/>
      <c r="M15" s="61" t="n"/>
    </row>
    <row r="18">
      <c r="C18" s="61" t="n"/>
      <c r="J18" s="61" t="n"/>
    </row>
    <row r="20">
      <c r="C20" s="61" t="n"/>
    </row>
    <row r="22">
      <c r="C22" s="61" t="n"/>
    </row>
    <row r="24">
      <c r="M24" s="6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5"/>
  <sheetViews>
    <sheetView zoomScale="85" workbookViewId="0">
      <selection activeCell="F29" sqref="F29"/>
    </sheetView>
  </sheetViews>
  <sheetFormatPr baseColWidth="8" defaultRowHeight="14.4"/>
  <cols>
    <col width="11.109375" bestFit="1" customWidth="1" min="2" max="2"/>
    <col width="11" bestFit="1" customWidth="1" min="3" max="4"/>
    <col width="11.109375" bestFit="1" customWidth="1" min="5" max="5"/>
    <col width="12.6640625" bestFit="1" customWidth="1" min="6" max="6"/>
    <col width="12.6640625" customWidth="1" min="7" max="7"/>
    <col width="11" bestFit="1" customWidth="1" min="8" max="8"/>
    <col width="11.21875" bestFit="1" customWidth="1" min="9" max="10"/>
    <col width="12.44140625" bestFit="1" customWidth="1" min="11" max="12"/>
    <col width="10.5546875" bestFit="1" customWidth="1" min="13" max="13"/>
    <col width="11.6640625" bestFit="1" customWidth="1" min="14" max="14"/>
  </cols>
  <sheetData>
    <row r="2">
      <c r="B2" s="4" t="n"/>
    </row>
    <row r="3" ht="16.8" customHeight="1">
      <c r="B3" s="42" t="inlineStr">
        <is>
          <t>Month/ Year</t>
        </is>
      </c>
      <c r="C3" s="3" t="inlineStr">
        <is>
          <t>Apollo</t>
        </is>
      </c>
      <c r="D3" s="3" t="inlineStr">
        <is>
          <t>Zeus</t>
        </is>
      </c>
      <c r="E3" s="3" t="inlineStr">
        <is>
          <t>Mara</t>
        </is>
      </c>
      <c r="F3" s="3" t="inlineStr">
        <is>
          <t>August</t>
        </is>
      </c>
      <c r="G3" s="3" t="inlineStr">
        <is>
          <t>Eagle</t>
        </is>
      </c>
      <c r="H3" s="40" t="inlineStr">
        <is>
          <t>WHS</t>
        </is>
      </c>
      <c r="I3" s="48" t="inlineStr">
        <is>
          <t>Bulk Java</t>
        </is>
      </c>
      <c r="J3" s="48" t="inlineStr">
        <is>
          <t>Ratu Dewata</t>
        </is>
      </c>
      <c r="K3" s="48" t="inlineStr">
        <is>
          <t>Labor</t>
        </is>
      </c>
      <c r="L3" s="48" t="inlineStr">
        <is>
          <t>Green Calypso</t>
        </is>
      </c>
    </row>
    <row r="4">
      <c r="B4" s="56" t="n">
        <v>45292</v>
      </c>
      <c r="C4" s="58" t="n">
        <v>45000</v>
      </c>
      <c r="D4" s="58" t="n">
        <v>567211</v>
      </c>
      <c r="E4" s="60" t="n"/>
      <c r="F4" s="60" t="n"/>
      <c r="G4" s="60" t="n"/>
      <c r="H4" s="58" t="n">
        <v>242500</v>
      </c>
      <c r="I4" s="60" t="n"/>
      <c r="J4" s="60" t="n"/>
      <c r="K4" s="60" t="n">
        <v>55000</v>
      </c>
      <c r="L4" s="60" t="n"/>
      <c r="M4" s="61" t="n"/>
    </row>
    <row r="5">
      <c r="B5" s="56" t="n">
        <v>45323</v>
      </c>
      <c r="C5" s="62" t="n">
        <v>49030.00000000001</v>
      </c>
      <c r="D5" s="62" t="n">
        <v>219400</v>
      </c>
      <c r="E5" s="60" t="n"/>
      <c r="F5" s="60" t="n"/>
      <c r="G5" s="60" t="n"/>
      <c r="H5" s="62" t="n">
        <v>75000</v>
      </c>
      <c r="I5" s="60" t="n"/>
      <c r="J5" s="60" t="n"/>
      <c r="K5" s="60" t="n"/>
      <c r="L5" s="63" t="n">
        <v>143555</v>
      </c>
      <c r="M5" s="61" t="n"/>
    </row>
    <row r="6">
      <c r="B6" s="56" t="n">
        <v>45352</v>
      </c>
      <c r="C6" s="58" t="n">
        <v>292071</v>
      </c>
      <c r="D6" s="58" t="n">
        <v>135380</v>
      </c>
      <c r="E6" s="60" t="n"/>
      <c r="F6" s="58" t="n">
        <v>139424</v>
      </c>
      <c r="G6" s="58" t="n"/>
      <c r="H6" s="58" t="n">
        <v>327456</v>
      </c>
      <c r="I6" s="60" t="n"/>
      <c r="J6" s="60" t="n"/>
      <c r="K6" s="60" t="n">
        <v>106400</v>
      </c>
      <c r="L6" s="60" t="n">
        <v>249800</v>
      </c>
      <c r="M6" s="61" t="n"/>
    </row>
    <row r="7">
      <c r="B7" s="56" t="n">
        <v>45383</v>
      </c>
      <c r="C7" s="58" t="n">
        <v>233622</v>
      </c>
      <c r="D7" s="58" t="n">
        <v>292201</v>
      </c>
      <c r="E7" s="60" t="n"/>
      <c r="F7" s="58" t="n">
        <v>66990</v>
      </c>
      <c r="G7" s="58" t="n"/>
      <c r="H7" s="58" t="n">
        <v>269850</v>
      </c>
      <c r="I7" s="60" t="n"/>
      <c r="J7" s="60" t="n">
        <v>71399.99999999999</v>
      </c>
      <c r="K7" s="60" t="n"/>
      <c r="L7" s="60" t="n"/>
      <c r="M7" s="61" t="n"/>
    </row>
    <row r="8">
      <c r="B8" s="56" t="n">
        <v>45413</v>
      </c>
      <c r="C8" s="27" t="n">
        <v>247266</v>
      </c>
      <c r="D8" s="27" t="n">
        <v>353450</v>
      </c>
      <c r="E8" s="60" t="n"/>
      <c r="F8" s="27" t="n">
        <v>73400.00000000003</v>
      </c>
      <c r="G8" s="27" t="n"/>
      <c r="H8" s="27" t="n">
        <v>412230</v>
      </c>
      <c r="I8" s="60" t="n"/>
      <c r="J8" s="60" t="n"/>
      <c r="K8" s="64" t="n">
        <v>85260</v>
      </c>
      <c r="L8" s="60" t="n"/>
      <c r="M8" s="61" t="n"/>
    </row>
    <row r="9">
      <c r="B9" s="56" t="n">
        <v>45444</v>
      </c>
      <c r="C9" s="62" t="n">
        <v>351610</v>
      </c>
      <c r="D9" s="62" t="n">
        <v>334817</v>
      </c>
      <c r="E9" s="60" t="n"/>
      <c r="F9" s="60" t="n"/>
      <c r="G9" s="60" t="n"/>
      <c r="H9" s="62" t="n">
        <v>421280</v>
      </c>
      <c r="I9" s="60" t="n"/>
      <c r="J9" s="60" t="n"/>
      <c r="K9" s="63" t="n">
        <v>53830</v>
      </c>
      <c r="L9" s="60" t="n"/>
      <c r="M9" s="61" t="n"/>
    </row>
    <row r="10">
      <c r="B10" s="56" t="n">
        <v>45474</v>
      </c>
      <c r="C10" s="62" t="n">
        <v>279575</v>
      </c>
      <c r="D10" s="62" t="n">
        <v>295175</v>
      </c>
      <c r="E10" s="60" t="n"/>
      <c r="F10" s="60" t="n"/>
      <c r="G10" s="60" t="n"/>
      <c r="H10" s="62" t="n">
        <v>292669</v>
      </c>
      <c r="I10" s="60" t="n"/>
      <c r="J10" s="63" t="n">
        <v>70849.99999999999</v>
      </c>
      <c r="K10" s="60" t="n"/>
      <c r="L10" s="60" t="n"/>
      <c r="M10" s="61" t="n"/>
    </row>
    <row r="11">
      <c r="B11" s="56" t="n">
        <v>45505</v>
      </c>
      <c r="C11" s="62" t="n">
        <v>305900</v>
      </c>
      <c r="D11" s="62" t="n">
        <v>461465</v>
      </c>
      <c r="E11" s="60" t="n"/>
      <c r="F11" s="60" t="n"/>
      <c r="G11" s="60" t="n"/>
      <c r="H11" s="62" t="n">
        <v>354376</v>
      </c>
      <c r="I11" s="60" t="n"/>
      <c r="J11" s="60" t="n"/>
      <c r="K11" s="60" t="n"/>
      <c r="L11" s="60" t="n"/>
      <c r="M11" s="61" t="n"/>
    </row>
    <row r="12">
      <c r="B12" s="56" t="n">
        <v>45536</v>
      </c>
      <c r="C12" s="62" t="n">
        <v>254236</v>
      </c>
      <c r="D12" s="62" t="n">
        <v>259470</v>
      </c>
      <c r="E12" s="60" t="n"/>
      <c r="F12" s="60" t="n"/>
      <c r="G12" s="60" t="n"/>
      <c r="H12" s="62" t="n">
        <v>417834</v>
      </c>
      <c r="I12" s="60" t="n"/>
      <c r="J12" s="60" t="n"/>
      <c r="K12" s="63" t="n">
        <v>19120</v>
      </c>
      <c r="L12" s="60" t="n"/>
      <c r="M12" s="61" t="n"/>
    </row>
    <row r="13">
      <c r="B13" s="56" t="n">
        <v>45566</v>
      </c>
      <c r="C13" s="62" t="n">
        <v>379447</v>
      </c>
      <c r="D13" s="62" t="n">
        <v>376460</v>
      </c>
      <c r="E13" s="60" t="n"/>
      <c r="F13" s="60" t="n"/>
      <c r="G13" s="60" t="n"/>
      <c r="H13" s="62" t="n">
        <v>482592</v>
      </c>
      <c r="I13" s="60" t="n"/>
      <c r="J13" s="60" t="n"/>
      <c r="K13" s="60" t="n"/>
      <c r="L13" s="60" t="n"/>
      <c r="M13" s="61" t="n"/>
    </row>
    <row r="14">
      <c r="B14" s="56" t="n">
        <v>45597</v>
      </c>
      <c r="C14" s="62" t="n">
        <v>331362</v>
      </c>
      <c r="D14" s="62" t="n">
        <v>349798</v>
      </c>
      <c r="E14" s="60" t="n"/>
      <c r="F14" s="60" t="n"/>
      <c r="G14" s="60" t="n"/>
      <c r="H14" s="62" t="n">
        <v>275671</v>
      </c>
      <c r="I14" s="60" t="n"/>
      <c r="J14" s="63" t="n">
        <v>61334</v>
      </c>
      <c r="K14" s="63" t="n">
        <v>54400</v>
      </c>
      <c r="L14" s="60" t="n"/>
      <c r="M14" s="61" t="n"/>
    </row>
    <row r="15">
      <c r="B15" s="56" t="n">
        <v>45627</v>
      </c>
      <c r="C15" s="62" t="n">
        <v>364621.5</v>
      </c>
      <c r="D15" s="62" t="n">
        <v>314820.5</v>
      </c>
      <c r="E15" s="60" t="n"/>
      <c r="F15" s="60" t="n"/>
      <c r="G15" s="60" t="n"/>
      <c r="H15" s="62" t="n">
        <v>427533</v>
      </c>
      <c r="I15" s="60" t="n"/>
      <c r="J15" s="63" t="n">
        <v>45060</v>
      </c>
      <c r="K15" s="63" t="n">
        <v>144255</v>
      </c>
      <c r="L15" s="63" t="n">
        <v>197580</v>
      </c>
      <c r="M15" s="61" t="n"/>
    </row>
    <row r="20">
      <c r="E20" s="65" t="n"/>
    </row>
    <row r="25">
      <c r="N25" s="6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6"/>
  <sheetViews>
    <sheetView zoomScale="95" workbookViewId="0">
      <selection activeCell="M3" sqref="M3:N19"/>
    </sheetView>
  </sheetViews>
  <sheetFormatPr baseColWidth="8" defaultRowHeight="14.4"/>
  <cols>
    <col width="12.44140625" customWidth="1" min="2" max="2"/>
    <col width="9" bestFit="1" customWidth="1" min="3" max="3"/>
    <col width="10" bestFit="1" customWidth="1" min="4" max="4"/>
    <col width="10" customWidth="1" min="5" max="6"/>
    <col width="11.5546875" bestFit="1" customWidth="1" min="7" max="7"/>
    <col width="8.5546875" bestFit="1" customWidth="1" min="8" max="8"/>
    <col width="11.21875" bestFit="1" customWidth="1" min="10" max="10"/>
    <col width="9.6640625" bestFit="1" customWidth="1" min="11" max="11"/>
    <col width="12.33203125" bestFit="1" customWidth="1" min="12" max="12"/>
    <col width="10.5546875" bestFit="1" customWidth="1" min="13" max="13"/>
  </cols>
  <sheetData>
    <row r="1"/>
    <row r="2">
      <c r="B2" s="4" t="n"/>
    </row>
    <row r="3" ht="13.2" customHeight="1">
      <c r="B3" s="41" t="inlineStr">
        <is>
          <t>Month/ Year</t>
        </is>
      </c>
      <c r="C3" s="3" t="inlineStr">
        <is>
          <t>Apollo</t>
        </is>
      </c>
      <c r="D3" s="3" t="inlineStr">
        <is>
          <t>Zeus</t>
        </is>
      </c>
      <c r="E3" s="3" t="inlineStr">
        <is>
          <t>Mara</t>
        </is>
      </c>
      <c r="F3" s="3" t="inlineStr">
        <is>
          <t>August</t>
        </is>
      </c>
      <c r="G3" s="31" t="inlineStr">
        <is>
          <t>Eagle</t>
        </is>
      </c>
      <c r="H3" s="39" t="inlineStr">
        <is>
          <t xml:space="preserve">WHS </t>
        </is>
      </c>
      <c r="I3" s="48" t="inlineStr">
        <is>
          <t>Bulk Java</t>
        </is>
      </c>
      <c r="J3" s="9" t="inlineStr">
        <is>
          <t>Ratu Dewata</t>
        </is>
      </c>
      <c r="K3" s="48" t="inlineStr">
        <is>
          <t>Labor</t>
        </is>
      </c>
      <c r="L3" s="48" t="inlineStr">
        <is>
          <t>Green Calypso</t>
        </is>
      </c>
    </row>
    <row r="4">
      <c r="B4" s="56" t="n">
        <v>45658</v>
      </c>
      <c r="C4" s="66" t="n">
        <v>34890</v>
      </c>
      <c r="D4" s="66" t="n">
        <v>337322</v>
      </c>
      <c r="E4" s="66" t="n"/>
      <c r="F4" s="66" t="n"/>
      <c r="G4" s="66" t="n">
        <v>85000</v>
      </c>
      <c r="H4" s="66" t="n">
        <v>323240</v>
      </c>
      <c r="I4" s="60" t="n"/>
      <c r="J4" s="67" t="n">
        <v>118100</v>
      </c>
      <c r="K4" s="67" t="n">
        <v>112860</v>
      </c>
      <c r="L4" s="60" t="n"/>
      <c r="M4" s="61" t="n"/>
    </row>
    <row r="5">
      <c r="B5" s="56" t="n">
        <v>45689</v>
      </c>
      <c r="C5" s="66" t="n">
        <v>405150</v>
      </c>
      <c r="D5" s="66" t="n">
        <v>323730</v>
      </c>
      <c r="E5" s="66" t="n"/>
      <c r="F5" s="66" t="n"/>
      <c r="G5" s="60" t="n"/>
      <c r="H5" s="66" t="n">
        <v>277097</v>
      </c>
      <c r="I5" s="60" t="n"/>
      <c r="J5" s="67" t="n">
        <v>125030</v>
      </c>
      <c r="K5" s="67" t="n">
        <v>107950</v>
      </c>
      <c r="L5" s="60" t="n"/>
      <c r="M5" s="61" t="n"/>
    </row>
    <row r="6">
      <c r="B6" s="56" t="n">
        <v>45717</v>
      </c>
      <c r="C6" s="66" t="n">
        <v>428659</v>
      </c>
      <c r="D6" s="66" t="n">
        <v>221549</v>
      </c>
      <c r="E6" s="66" t="n"/>
      <c r="F6" s="66" t="n"/>
      <c r="G6" s="60" t="n"/>
      <c r="H6" s="66" t="n">
        <v>236140</v>
      </c>
      <c r="I6" s="60" t="n"/>
      <c r="J6" s="67" t="n">
        <v>76160</v>
      </c>
      <c r="K6" s="67" t="n">
        <v>107156</v>
      </c>
      <c r="L6" s="60" t="n"/>
      <c r="M6" s="61" t="n"/>
    </row>
    <row r="7">
      <c r="B7" s="56" t="n">
        <v>45748</v>
      </c>
      <c r="C7" s="66" t="n">
        <v>103950</v>
      </c>
      <c r="D7" s="66" t="n">
        <v>288538.86</v>
      </c>
      <c r="E7" s="66" t="n"/>
      <c r="F7" s="66" t="n"/>
      <c r="G7" s="66" t="n">
        <v>72900</v>
      </c>
      <c r="H7" s="66" t="n">
        <v>317815.14</v>
      </c>
      <c r="I7" s="60" t="n"/>
      <c r="J7" s="60" t="n"/>
      <c r="K7" s="67" t="n">
        <v>59800</v>
      </c>
      <c r="L7" s="60" t="n"/>
      <c r="M7" s="61" t="n"/>
    </row>
    <row r="8">
      <c r="B8" s="56" t="n">
        <v>45778</v>
      </c>
      <c r="C8" s="66" t="n">
        <v>352975</v>
      </c>
      <c r="D8" s="66" t="n">
        <v>406396</v>
      </c>
      <c r="E8" s="66" t="n"/>
      <c r="F8" s="66" t="n"/>
      <c r="G8" s="60" t="n"/>
      <c r="H8" s="66" t="n">
        <v>285170</v>
      </c>
      <c r="I8" s="60" t="n"/>
      <c r="J8" s="60" t="n"/>
      <c r="K8" s="67" t="n">
        <v>106800</v>
      </c>
      <c r="L8" s="60" t="n"/>
      <c r="M8" s="61" t="n"/>
    </row>
    <row r="9">
      <c r="B9" s="56" t="n">
        <v>45809</v>
      </c>
      <c r="C9" s="66" t="n">
        <v>340560</v>
      </c>
      <c r="D9" s="66" t="n">
        <v>354286</v>
      </c>
      <c r="E9" s="66" t="n"/>
      <c r="F9" s="66" t="n"/>
      <c r="G9" s="60" t="n"/>
      <c r="H9" s="66" t="n">
        <v>306375</v>
      </c>
      <c r="I9" s="60" t="n"/>
      <c r="J9" s="60" t="n"/>
      <c r="K9" s="67" t="n">
        <v>47000</v>
      </c>
      <c r="L9" s="60" t="n"/>
      <c r="M9" s="61" t="n"/>
    </row>
    <row r="10">
      <c r="B10" s="56" t="n">
        <v>45839</v>
      </c>
      <c r="C10" s="66" t="n">
        <v>134960</v>
      </c>
      <c r="D10" s="66" t="n">
        <v>215646</v>
      </c>
      <c r="E10" s="66" t="n"/>
      <c r="F10" s="66" t="n"/>
      <c r="G10" s="60" t="n"/>
      <c r="H10" s="66" t="n">
        <v>161850</v>
      </c>
      <c r="I10" s="60" t="n"/>
      <c r="J10" s="60" t="n"/>
      <c r="K10" s="67" t="n">
        <v>48500</v>
      </c>
      <c r="L10" s="60" t="n"/>
      <c r="M10" s="61" t="n"/>
    </row>
    <row r="11">
      <c r="B11" s="56" t="n">
        <v>45870</v>
      </c>
      <c r="C11" s="60" t="n">
        <v>262665</v>
      </c>
      <c r="D11" s="60" t="n">
        <v>333691</v>
      </c>
      <c r="E11" s="60" t="n"/>
      <c r="F11" s="60" t="n"/>
      <c r="G11" s="60" t="n">
        <v>64145</v>
      </c>
      <c r="H11" s="60" t="n">
        <v>326451</v>
      </c>
      <c r="I11" s="60" t="n"/>
      <c r="J11" s="60" t="n"/>
      <c r="K11" s="60" t="n">
        <v>75675</v>
      </c>
      <c r="L11" s="60" t="n"/>
      <c r="M11" s="61" t="n"/>
    </row>
    <row r="12">
      <c r="B12" s="56" t="n">
        <v>45901</v>
      </c>
      <c r="C12" s="60" t="n">
        <v>304752</v>
      </c>
      <c r="D12" s="60" t="n">
        <v>219505</v>
      </c>
      <c r="E12" s="60" t="n"/>
      <c r="F12" s="60" t="n"/>
      <c r="G12" s="60" t="n">
        <v>35325</v>
      </c>
      <c r="H12" s="60" t="n">
        <v>387700</v>
      </c>
      <c r="I12" s="60" t="n"/>
      <c r="J12" s="60" t="n"/>
      <c r="K12" s="60" t="n">
        <v>68884</v>
      </c>
      <c r="L12" s="60" t="n"/>
      <c r="M12" s="61" t="n"/>
    </row>
    <row r="13">
      <c r="B13" s="56" t="n">
        <v>45931</v>
      </c>
      <c r="C13" s="60" t="n">
        <v>312530</v>
      </c>
      <c r="D13" s="60" t="n">
        <v>169970</v>
      </c>
      <c r="E13" s="60" t="n"/>
      <c r="F13" s="60" t="n"/>
      <c r="G13" s="60" t="n">
        <v>31625</v>
      </c>
      <c r="H13" s="60" t="n">
        <v>386920</v>
      </c>
      <c r="I13" s="60" t="n"/>
      <c r="J13" s="60" t="n"/>
      <c r="K13" s="60" t="n">
        <v>56000.004</v>
      </c>
      <c r="L13" s="60" t="n"/>
      <c r="M13" s="61" t="n"/>
    </row>
    <row r="14">
      <c r="B14" s="56" t="n">
        <v>45962</v>
      </c>
      <c r="C14" s="60" t="n">
        <v>32000</v>
      </c>
      <c r="D14" s="60" t="n">
        <v>32000</v>
      </c>
      <c r="E14" s="60" t="n"/>
      <c r="F14" s="60" t="n"/>
      <c r="G14" s="60" t="n"/>
      <c r="H14" s="60" t="n"/>
      <c r="I14" s="60" t="n"/>
      <c r="J14" s="60" t="n"/>
      <c r="K14" s="60" t="n"/>
      <c r="L14" s="60" t="n"/>
      <c r="M14" s="61" t="n"/>
    </row>
    <row r="15">
      <c r="B15" s="56" t="n">
        <v>45992</v>
      </c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  <c r="L15" s="60" t="n"/>
      <c r="M15" s="61" t="n"/>
    </row>
    <row r="16">
      <c r="M16" s="6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9"/>
  <sheetViews>
    <sheetView zoomScaleNormal="100" workbookViewId="0">
      <selection activeCell="D25" sqref="D25"/>
    </sheetView>
  </sheetViews>
  <sheetFormatPr baseColWidth="8" defaultRowHeight="14.4"/>
  <cols>
    <col width="11" bestFit="1" customWidth="1" min="3" max="3"/>
    <col width="8.5546875" bestFit="1" customWidth="1" min="4" max="4"/>
    <col width="8.5546875" customWidth="1" min="5" max="5"/>
    <col width="12.5546875" bestFit="1" customWidth="1" min="6" max="6"/>
    <col width="13" bestFit="1" customWidth="1" min="8" max="8"/>
    <col width="10" bestFit="1" customWidth="1" min="9" max="9"/>
    <col width="11.44140625" bestFit="1" customWidth="1" min="10" max="10"/>
    <col width="9.88671875" customWidth="1" min="11" max="11"/>
  </cols>
  <sheetData>
    <row r="2">
      <c r="B2" s="48" t="inlineStr">
        <is>
          <t>Month &amp; Year</t>
        </is>
      </c>
      <c r="C2" s="68" t="inlineStr">
        <is>
          <t>Rocktree</t>
        </is>
      </c>
      <c r="D2" s="69" t="n"/>
      <c r="E2" s="70" t="n"/>
      <c r="F2" s="71" t="inlineStr">
        <is>
          <t>WHS iskandar</t>
        </is>
      </c>
      <c r="G2" s="6" t="inlineStr">
        <is>
          <t>PSS</t>
        </is>
      </c>
      <c r="H2" s="70" t="n"/>
      <c r="I2" s="6" t="inlineStr">
        <is>
          <t>Stevedore</t>
        </is>
      </c>
      <c r="J2" s="51" t="inlineStr">
        <is>
          <t>Meranti</t>
        </is>
      </c>
      <c r="K2" s="72" t="inlineStr">
        <is>
          <t>TOTAL</t>
        </is>
      </c>
    </row>
    <row r="3" ht="27.6" customHeight="1">
      <c r="B3" s="73" t="n"/>
      <c r="C3" s="30" t="inlineStr">
        <is>
          <t>Apolo</t>
        </is>
      </c>
      <c r="D3" s="30" t="inlineStr">
        <is>
          <t>Zeus</t>
        </is>
      </c>
      <c r="E3" s="30" t="inlineStr">
        <is>
          <t>Eagle</t>
        </is>
      </c>
      <c r="F3" s="74" t="n"/>
      <c r="G3" s="48" t="inlineStr">
        <is>
          <t>Bulk Java</t>
        </is>
      </c>
      <c r="H3" s="48" t="inlineStr">
        <is>
          <t>Ratu Dewata</t>
        </is>
      </c>
      <c r="I3" s="48" t="inlineStr">
        <is>
          <t>Labor</t>
        </is>
      </c>
      <c r="J3" s="7" t="inlineStr">
        <is>
          <t>Green Calypso</t>
        </is>
      </c>
      <c r="K3" s="74" t="n"/>
    </row>
    <row r="4">
      <c r="B4" s="57" t="n">
        <v>45870</v>
      </c>
      <c r="C4" s="75" t="n">
        <v>44175</v>
      </c>
      <c r="D4" s="75" t="n">
        <v>44175</v>
      </c>
      <c r="E4" s="75" t="n"/>
      <c r="F4" s="75" t="n">
        <v>71590</v>
      </c>
      <c r="G4" s="63" t="n"/>
      <c r="H4" s="63" t="n"/>
      <c r="I4" s="63" t="n">
        <v>19375</v>
      </c>
      <c r="J4" s="76" t="n"/>
      <c r="K4" s="77">
        <f>SUM(C4:J4)</f>
        <v/>
      </c>
    </row>
    <row r="5">
      <c r="B5" s="57" t="n"/>
      <c r="C5" s="75" t="n">
        <v>74190</v>
      </c>
      <c r="D5" s="75" t="n">
        <v>80800</v>
      </c>
      <c r="E5" s="78" t="n"/>
      <c r="F5" s="28" t="n">
        <v>73490</v>
      </c>
      <c r="G5" s="63" t="n"/>
      <c r="H5" s="63" t="n"/>
      <c r="I5" s="63" t="n"/>
      <c r="J5" s="76" t="n"/>
      <c r="K5" s="77">
        <f>SUM(C5:J5)</f>
        <v/>
      </c>
    </row>
    <row r="6">
      <c r="B6" s="57" t="n"/>
      <c r="C6" s="75" t="n"/>
      <c r="D6" s="75" t="n">
        <v>74000.00000000001</v>
      </c>
      <c r="E6" s="75" t="n"/>
      <c r="F6" s="63" t="n">
        <v>71871</v>
      </c>
      <c r="G6" s="63" t="n"/>
      <c r="H6" s="63" t="n"/>
      <c r="I6" s="63" t="n"/>
      <c r="J6" s="76" t="n"/>
      <c r="K6" s="77">
        <f>SUM(C6:J6)</f>
        <v/>
      </c>
    </row>
    <row r="7">
      <c r="B7" s="57" t="n"/>
      <c r="C7" s="75" t="n"/>
      <c r="D7" s="75" t="n"/>
      <c r="E7" s="75" t="n"/>
      <c r="F7" s="63" t="n"/>
      <c r="G7" s="63" t="n"/>
      <c r="H7" s="63" t="n"/>
      <c r="I7" s="63" t="n"/>
      <c r="J7" s="76" t="n"/>
      <c r="K7" s="77">
        <f>SUM(C7:J7)</f>
        <v/>
      </c>
    </row>
    <row r="8">
      <c r="B8" s="57" t="n"/>
      <c r="C8" s="75" t="n"/>
      <c r="D8" s="75" t="n"/>
      <c r="E8" s="75" t="n"/>
      <c r="F8" s="75" t="n"/>
      <c r="G8" s="63" t="n"/>
      <c r="H8" s="63" t="n"/>
      <c r="I8" s="63" t="n"/>
      <c r="J8" s="76" t="n"/>
      <c r="K8" s="77">
        <f>SUM(C8:J8)</f>
        <v/>
      </c>
    </row>
    <row r="9">
      <c r="B9" s="57" t="n"/>
      <c r="C9" s="75" t="n"/>
      <c r="D9" s="75" t="n"/>
      <c r="E9" s="75" t="n"/>
      <c r="F9" s="75" t="n"/>
      <c r="G9" s="63" t="n"/>
      <c r="H9" s="63" t="n"/>
      <c r="I9" s="63" t="n"/>
      <c r="J9" s="76" t="n"/>
      <c r="K9" s="77">
        <f>SUM(C9:J9)</f>
        <v/>
      </c>
    </row>
    <row r="10">
      <c r="B10" s="57" t="n"/>
      <c r="C10" s="75" t="n"/>
      <c r="D10" s="75" t="n"/>
      <c r="E10" s="78" t="n"/>
      <c r="F10" s="61" t="n"/>
      <c r="H10" s="63" t="n"/>
      <c r="I10" s="63" t="n"/>
      <c r="J10" s="76" t="n"/>
      <c r="K10" s="77">
        <f>SUM(C10:J10)</f>
        <v/>
      </c>
    </row>
    <row r="11">
      <c r="B11" s="57" t="n"/>
      <c r="C11" s="75" t="n"/>
      <c r="D11" s="75" t="n"/>
      <c r="E11" s="75" t="n"/>
      <c r="F11" s="75" t="n"/>
      <c r="G11" s="63" t="n"/>
      <c r="H11" s="63" t="n"/>
      <c r="I11" s="63" t="n"/>
      <c r="J11" s="76" t="n"/>
      <c r="K11" s="77">
        <f>SUM(C11:J11)</f>
        <v/>
      </c>
    </row>
    <row r="12">
      <c r="B12" s="57" t="n"/>
      <c r="C12" s="75" t="n"/>
      <c r="D12" s="75" t="n"/>
      <c r="E12" s="75" t="n"/>
      <c r="F12" s="75" t="n"/>
      <c r="G12" s="63" t="n"/>
      <c r="H12" s="63" t="n"/>
      <c r="I12" s="63" t="n"/>
      <c r="J12" s="76" t="n"/>
      <c r="K12" s="77">
        <f>SUM(C12:J12)</f>
        <v/>
      </c>
    </row>
    <row r="13">
      <c r="B13" s="57" t="n"/>
      <c r="C13" s="75" t="n"/>
      <c r="D13" s="75" t="n"/>
      <c r="E13" s="75" t="n"/>
      <c r="F13" s="75" t="n"/>
      <c r="G13" s="63" t="n"/>
      <c r="H13" s="63" t="n"/>
      <c r="I13" s="63" t="n"/>
      <c r="J13" s="76" t="n"/>
      <c r="K13" s="77">
        <f>SUM(C13:J13)</f>
        <v/>
      </c>
    </row>
    <row r="14">
      <c r="B14" s="57" t="n"/>
      <c r="C14" s="75" t="n"/>
      <c r="D14" s="75" t="n"/>
      <c r="E14" s="75" t="n"/>
      <c r="F14" s="75" t="n"/>
      <c r="G14" s="63" t="n"/>
      <c r="H14" s="63" t="n"/>
      <c r="I14" s="63" t="n"/>
      <c r="J14" s="76" t="n"/>
      <c r="K14" s="77">
        <f>SUM(C14:J14)</f>
        <v/>
      </c>
    </row>
    <row r="15">
      <c r="B15" s="57" t="n"/>
      <c r="C15" s="75" t="n"/>
      <c r="D15" s="75" t="n"/>
      <c r="E15" s="75" t="n"/>
      <c r="F15" s="75" t="n"/>
      <c r="G15" s="63" t="n"/>
      <c r="H15" s="79" t="n"/>
      <c r="I15" s="79" t="n"/>
      <c r="J15" s="80" t="n"/>
      <c r="K15" s="77">
        <f>SUM(C15:J15)</f>
        <v/>
      </c>
    </row>
    <row r="16">
      <c r="B16" s="57" t="n"/>
      <c r="C16" s="75" t="n"/>
      <c r="D16" s="75" t="n"/>
      <c r="E16" s="75" t="n"/>
      <c r="F16" s="75" t="n"/>
      <c r="G16" s="63" t="n"/>
      <c r="H16" s="79" t="n"/>
      <c r="I16" s="79" t="n"/>
      <c r="J16" s="80" t="n"/>
      <c r="K16" s="77">
        <f>SUM(C16:J16)</f>
        <v/>
      </c>
    </row>
    <row r="17">
      <c r="B17" s="57" t="n"/>
      <c r="C17" s="75" t="n"/>
      <c r="D17" s="75" t="n"/>
      <c r="E17" s="75" t="n"/>
      <c r="F17" s="75" t="n"/>
      <c r="G17" s="63" t="n"/>
      <c r="H17" s="79" t="n"/>
      <c r="I17" s="79" t="n"/>
      <c r="J17" s="80" t="n"/>
      <c r="K17" s="77">
        <f>SUM(C17:J17)</f>
        <v/>
      </c>
    </row>
    <row r="18">
      <c r="B18" s="57" t="n"/>
      <c r="C18" s="75" t="n"/>
      <c r="D18" s="75" t="n"/>
      <c r="E18" s="75" t="n"/>
      <c r="F18" s="75" t="n"/>
      <c r="G18" s="63" t="n"/>
      <c r="H18" s="79" t="n"/>
      <c r="I18" s="79" t="n"/>
      <c r="J18" s="80" t="n"/>
      <c r="K18" s="77">
        <f>SUM(C18:J18)</f>
        <v/>
      </c>
    </row>
    <row r="19">
      <c r="B19" s="81" t="inlineStr">
        <is>
          <t>TOTAL FLF 2023</t>
        </is>
      </c>
      <c r="C19" s="69" t="n"/>
      <c r="D19" s="69" t="n"/>
      <c r="E19" s="69" t="n"/>
      <c r="F19" s="69" t="n"/>
      <c r="G19" s="69" t="n"/>
      <c r="H19" s="69" t="n"/>
      <c r="I19" s="69" t="n"/>
      <c r="J19" s="70" t="n"/>
      <c r="K19" s="82">
        <f>SUM(K4:K18)</f>
        <v/>
      </c>
    </row>
  </sheetData>
  <mergeCells count="6">
    <mergeCell ref="C2:E2"/>
    <mergeCell ref="B19:J19"/>
    <mergeCell ref="G2:H2"/>
    <mergeCell ref="B2:B3"/>
    <mergeCell ref="F2:F3"/>
    <mergeCell ref="K2:K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resma yunita</dc:creator>
  <dcterms:created xsi:type="dcterms:W3CDTF">2025-08-19T01:44:53Z</dcterms:created>
  <dcterms:modified xsi:type="dcterms:W3CDTF">2025-11-09T03:57:06Z</dcterms:modified>
  <cp:lastModifiedBy>resma yunita</cp:lastModifiedBy>
</cp:coreProperties>
</file>